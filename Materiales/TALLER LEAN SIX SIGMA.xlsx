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 - UNIVERSIDAD NACIONAL DE INGENIERIA\Desktop\UNI\9vo ciclo\SISTEMAS ANALITICOS\PC10\Materiales\"/>
    </mc:Choice>
  </mc:AlternateContent>
  <xr:revisionPtr revIDLastSave="0" documentId="13_ncr:1_{11B02AB5-4F9B-43B7-B691-4AD9E86B03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odologia" sheetId="1" r:id="rId1"/>
    <sheet name="Herramientas" sheetId="2" r:id="rId2"/>
    <sheet name="Proyecto" sheetId="3" r:id="rId3"/>
    <sheet name="Flujo" sheetId="6" r:id="rId4"/>
    <sheet name="Project Charter" sheetId="4" r:id="rId5"/>
    <sheet name="Ejemplo" sheetId="5" r:id="rId6"/>
    <sheet name="Caso Problema" sheetId="7" r:id="rId7"/>
    <sheet name="SOLUCION" sheetId="8" r:id="rId8"/>
  </sheets>
  <definedNames>
    <definedName name="_xlnm.Print_Area" localSheetId="2">Proyecto!$A$7:$D$23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7" i="8" l="1"/>
  <c r="F116" i="8"/>
  <c r="L72" i="8"/>
  <c r="J72" i="8"/>
  <c r="K72" i="8"/>
  <c r="L71" i="8"/>
  <c r="J71" i="8"/>
  <c r="K71" i="8"/>
  <c r="L70" i="8"/>
  <c r="J70" i="8"/>
  <c r="K70" i="8"/>
  <c r="L69" i="8"/>
  <c r="J69" i="8"/>
  <c r="K69" i="8"/>
  <c r="L68" i="8"/>
  <c r="J68" i="8"/>
  <c r="K68" i="8"/>
  <c r="L67" i="8"/>
  <c r="J67" i="8"/>
  <c r="K67" i="8"/>
  <c r="L66" i="8"/>
  <c r="J66" i="8"/>
  <c r="K66" i="8"/>
  <c r="L65" i="8"/>
  <c r="J65" i="8"/>
  <c r="K65" i="8"/>
  <c r="L64" i="8"/>
  <c r="J64" i="8"/>
  <c r="K64" i="8"/>
  <c r="L63" i="8"/>
  <c r="J63" i="8"/>
  <c r="K63" i="8"/>
  <c r="L62" i="8"/>
  <c r="J62" i="8"/>
  <c r="K62" i="8"/>
  <c r="L61" i="8"/>
  <c r="J61" i="8"/>
  <c r="K61" i="8"/>
  <c r="L60" i="8"/>
  <c r="J60" i="8"/>
  <c r="K60" i="8"/>
  <c r="L59" i="8"/>
  <c r="J59" i="8"/>
  <c r="K59" i="8"/>
  <c r="L58" i="8"/>
  <c r="J58" i="8"/>
  <c r="K58" i="8"/>
  <c r="L57" i="8"/>
  <c r="J57" i="8"/>
  <c r="K57" i="8"/>
  <c r="L56" i="8"/>
  <c r="L53" i="8"/>
  <c r="L54" i="8"/>
  <c r="L55" i="8"/>
  <c r="L73" i="8"/>
  <c r="L74" i="8"/>
  <c r="J56" i="8"/>
  <c r="K56" i="8"/>
  <c r="J55" i="8"/>
  <c r="K55" i="8"/>
  <c r="J54" i="8"/>
  <c r="K54" i="8"/>
  <c r="J53" i="8"/>
  <c r="K53" i="8"/>
  <c r="C28" i="8"/>
  <c r="C30" i="8"/>
  <c r="D105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D104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C124" i="8"/>
  <c r="K73" i="8"/>
  <c r="K74" i="8"/>
  <c r="C25" i="8"/>
  <c r="C27" i="8"/>
  <c r="G127" i="8"/>
  <c r="E8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E81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H117" i="8"/>
  <c r="G129" i="8"/>
  <c r="H116" i="8"/>
  <c r="G128" i="8"/>
  <c r="G132" i="8"/>
  <c r="F121" i="8"/>
  <c r="G133" i="8"/>
  <c r="D134" i="8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2" i="7"/>
  <c r="J41" i="7"/>
</calcChain>
</file>

<file path=xl/sharedStrings.xml><?xml version="1.0" encoding="utf-8"?>
<sst xmlns="http://schemas.openxmlformats.org/spreadsheetml/2006/main" count="905" uniqueCount="493">
  <si>
    <t>D</t>
  </si>
  <si>
    <t>Definiir un problema y su cobertura, conformar el equipo, elaborar un cronograma</t>
  </si>
  <si>
    <t>En Six Sigma los problemas son tratados a través de proyectos, se define un equipo, un cronograma, alcance, meta, beneficio e inversiones</t>
  </si>
  <si>
    <t>Objetivo</t>
  </si>
  <si>
    <t>OBJETIVO</t>
  </si>
  <si>
    <t>OBSERVACIONES</t>
  </si>
  <si>
    <t>M</t>
  </si>
  <si>
    <t>A</t>
  </si>
  <si>
    <t>I</t>
  </si>
  <si>
    <t>C</t>
  </si>
  <si>
    <t>MEDIR</t>
  </si>
  <si>
    <t>ANALIZAR</t>
  </si>
  <si>
    <t>MEJORAR</t>
  </si>
  <si>
    <t>CONTROLAR</t>
  </si>
  <si>
    <t>Cuantificar un problema, sus SINTOMAS, identificar el origen del problema</t>
  </si>
  <si>
    <t>Despúes que conocemos el problema lo suficiente (MEDIR) ahora identificamos sus CAUSAS</t>
  </si>
  <si>
    <t>Proponer un solución y testearla</t>
  </si>
  <si>
    <t>Elaboramos rapidamente despues de conocer las CAUSAS del problema</t>
  </si>
  <si>
    <t>No basta mejorar, necesitamos garantizar que las mejores perduren a través de medidas de control</t>
  </si>
  <si>
    <t>AREAS DE APLICACIÓN DELSIX SIGMA EN UNA EMPRESA INDUSTRIAL (PERO PUEDE APLICARSE A CUALQUIER EMPRESA)</t>
  </si>
  <si>
    <t>Etc.</t>
  </si>
  <si>
    <t>Herramienta</t>
  </si>
  <si>
    <t>Funciones</t>
  </si>
  <si>
    <t>Aplicaciones</t>
  </si>
  <si>
    <t>Muestreo</t>
  </si>
  <si>
    <t>X</t>
  </si>
  <si>
    <t>Análisis de riesgos</t>
  </si>
  <si>
    <t>Analisis de varianza (ANOVA)</t>
  </si>
  <si>
    <t>Arbol de costos</t>
  </si>
  <si>
    <t>Arbol de estructura</t>
  </si>
  <si>
    <t>Box Plot (Diagrama de caja)</t>
  </si>
  <si>
    <t>Brainstorming</t>
  </si>
  <si>
    <t>Capacidades / Z bench</t>
  </si>
  <si>
    <t>Cronograma / Gráfico de Gantt</t>
  </si>
  <si>
    <t>Costo - Beneficio</t>
  </si>
  <si>
    <t>Diagrama de afinidades</t>
  </si>
  <si>
    <t>Diagrama de dispersión / Scatter Diagram</t>
  </si>
  <si>
    <t>Diagrama de Radar / Radar Chart</t>
  </si>
  <si>
    <t>Entrevistas</t>
  </si>
  <si>
    <t>Espina de pescado</t>
  </si>
  <si>
    <t>Diseño de experimentos (DOE)</t>
  </si>
  <si>
    <t>Estratificaciones</t>
  </si>
  <si>
    <t>Análisis de Modo y Efecto de Falla (FMEA)</t>
  </si>
  <si>
    <t>Gage R&amp;R (variación Repetibilidad y Reproducibilidad)</t>
  </si>
  <si>
    <t>Gráfico de series de tiempo - Run Chart</t>
  </si>
  <si>
    <t>Histograma</t>
  </si>
  <si>
    <t>Intervalo de Confianza</t>
  </si>
  <si>
    <t>Mapa de procesos</t>
  </si>
  <si>
    <t>Matriz de Causa Efecto</t>
  </si>
  <si>
    <t>Matriz de responsabilidades</t>
  </si>
  <si>
    <t>Pareto / ABC</t>
  </si>
  <si>
    <t>Plan de Control</t>
  </si>
  <si>
    <t>La casa de calidad (QFD: Quality Function Deployment)</t>
  </si>
  <si>
    <t>Regresión</t>
  </si>
  <si>
    <t>Superficie de respuesta (RSM)</t>
  </si>
  <si>
    <t>Prueba de hipótesis</t>
  </si>
  <si>
    <t>Prueba de normalidad, etc</t>
  </si>
  <si>
    <t>Prueba de Chi-quadrado</t>
  </si>
  <si>
    <t>Comparar media</t>
  </si>
  <si>
    <t>Utilizado para comparar distribuciones</t>
  </si>
  <si>
    <t>Medir estadisticamente la fracción fuera de especificaciones</t>
  </si>
  <si>
    <t>Evaluación y control de procesos</t>
  </si>
  <si>
    <t>Ideas grupales relacionadas, utilizadas despúes de una lluvia de ideas</t>
  </si>
  <si>
    <t>Visualizar posibles relaciones entre variables</t>
  </si>
  <si>
    <t>Visualizar en un único gráfico diversas comparaciones</t>
  </si>
  <si>
    <t>Confirmar y cuantificar los "X" vitales</t>
  </si>
  <si>
    <t>Evaluar el sistema de medición</t>
  </si>
  <si>
    <t>Definir estadisticamente el intervalo de confianza de una X</t>
  </si>
  <si>
    <t>Garantizar que la solución propuesta perdure</t>
  </si>
  <si>
    <t>Optimizar las "X"s</t>
  </si>
  <si>
    <t>Comparar dos medias</t>
  </si>
  <si>
    <t>Verificar si una muestra sigue una distribución normal</t>
  </si>
  <si>
    <t>Prueba de independencia de dos variables discretas</t>
  </si>
  <si>
    <t>Paso</t>
  </si>
  <si>
    <t>Resultado</t>
  </si>
  <si>
    <t>Etapa</t>
  </si>
  <si>
    <t>Definir el proyecto</t>
  </si>
  <si>
    <t>Proyecto definido (Tema, Alcance, Equipo, Metas, Hitos (fechas, plazos)</t>
  </si>
  <si>
    <t>TENEMOS UN PROBLEMA EN UN PROCESO EXISTENTE, DESEAMOS Y DECIDIMOS APLICAR SIX SIGMA</t>
  </si>
  <si>
    <t>Mapa de Procesos</t>
  </si>
  <si>
    <t>SIPOC (Análisis del cliente - proveedor)</t>
  </si>
  <si>
    <t>Análisis del potencial</t>
  </si>
  <si>
    <t>Beneficios esperados del proyecto en S/ / año</t>
  </si>
  <si>
    <t>Comienzo/fin del proceso, principales pasos del proceso, variables resultado "Y", entradas y variables del proceso "X"</t>
  </si>
  <si>
    <t>Necesidades del cliente</t>
  </si>
  <si>
    <t>Mapa de empatia</t>
  </si>
  <si>
    <t>Características específicas del cliente</t>
  </si>
  <si>
    <t>Voz del cliente: entrevista presencial, entrevista escrita, modelo de Kano, diagrama de afinidad</t>
  </si>
  <si>
    <t>Deseos de los clientes, necesidades más importantes</t>
  </si>
  <si>
    <t>CTQs (Critical to Quality)</t>
  </si>
  <si>
    <t>Necesidades de clientes medibles, magnitudes de medida, especificaciones.</t>
  </si>
  <si>
    <t>Mapa de Proceso</t>
  </si>
  <si>
    <t>Mapa de proceso, SIP, Voz del cliente</t>
  </si>
  <si>
    <t>Recolección de variables de salida (Y), entradas y variables de proceso (X)</t>
  </si>
  <si>
    <t>Posibles variables de entrada</t>
  </si>
  <si>
    <t>Diagrama de Ishikawa, Matriz de Prioridad, FMEA</t>
  </si>
  <si>
    <t>Brainstorming de muchas posibles causas, selección de las más probables "vital few"</t>
  </si>
  <si>
    <t>Recolección de datos</t>
  </si>
  <si>
    <t>Niveles de medida, plan de recogida de muestras aleatoria, métodos de colección de datos, herramientas de colección de datos</t>
  </si>
  <si>
    <t>Hipótesis formuladas verbalmente, hipótesis operacional, método de colección de datos</t>
  </si>
  <si>
    <t>Sistema de medida</t>
  </si>
  <si>
    <t>Medidas de calidad del sistema de medida, sistema de medida fiable (datos fidedignos), comienzo de la colección de datos real</t>
  </si>
  <si>
    <t>Presentación de datos</t>
  </si>
  <si>
    <t>Diagrama de Pareto, Histograma, Diagrama del curso, Gráfico de Control, Diagrama de Dispersión</t>
  </si>
  <si>
    <t>Visualización de la colección de datos, primera versión de hipótesis (suposiciones)</t>
  </si>
  <si>
    <t>Procesos de calidad calculados del actual proceso</t>
  </si>
  <si>
    <t>DPU (Defectos por Unidad) / DPM (Defectos por Millón); CpK (Capacidad del Proceso), PpK (Rendimiento del Proceso), Sigma del proceso</t>
  </si>
  <si>
    <t>Capacidad del proceso</t>
  </si>
  <si>
    <t>Estimación de repetitividad y reproductibilidad (RR): datos continuos, datos discretos, estimación linealidad</t>
  </si>
  <si>
    <t>D (Definir)</t>
  </si>
  <si>
    <t>M (Medir)</t>
  </si>
  <si>
    <t>A (Analizar)</t>
  </si>
  <si>
    <t>Identificación causa-raiz</t>
  </si>
  <si>
    <t>Causas de los problemas, variables "X" e "Y"</t>
  </si>
  <si>
    <t>Básicas: Diagrama causa-efecto, Análisis causa-raiz, Brainstorming, Pareto (ABC), Mapa de proceso, VSM (Value Stream Mappling). Avanzadas: DOE (Diseño de experimentos, Prueba de hipótesis (ANOVA)</t>
  </si>
  <si>
    <t>I (Mejorar)</t>
  </si>
  <si>
    <t>Establecer acciones de mejoras mediante el desarrollo de un piloto y la implantación de la solución</t>
  </si>
  <si>
    <t>C (Controlar)</t>
  </si>
  <si>
    <t>Definir acciones de control, implantar las mejoras, validar los beneficios, documentar el proyecto</t>
  </si>
  <si>
    <t>Controlar, beneficios positivos, documentación del proyecto, eliminar el problema.</t>
  </si>
  <si>
    <t>COMO PODEMOS O DEBERIAMOS ABORDAR LOS PROBLEMAS:</t>
  </si>
  <si>
    <t>1. El Plan de Acción solo podría ocurrir después de conocer el problema y sus causas (es impracticable en ua sola reunión)</t>
  </si>
  <si>
    <t>2. No podemos discutir un problema sin datos (entrar a una reunión con las manos vacias)</t>
  </si>
  <si>
    <t>4. Si no se identifica la causa raiz, no podemos definir acciones para resolver el problema.</t>
  </si>
  <si>
    <t>5. Las acciones aisladas pueden no tener efecto cuando tenemos una visión parcial del problema.</t>
  </si>
  <si>
    <t>6. La falta de una metodología nos lleva a actuar de manera aleatoria e inconsistente.</t>
  </si>
  <si>
    <t>LA METODOLOGÍA SIX SIGMA:</t>
  </si>
  <si>
    <t>Función:</t>
  </si>
  <si>
    <t>Ayudar a resolver un problema</t>
  </si>
  <si>
    <t>Cuando aplicar la metodología:</t>
  </si>
  <si>
    <t>Cuando no tenemos conocimiento suficiente del problema y sus causas</t>
  </si>
  <si>
    <t>Tamaño de proyecto:</t>
  </si>
  <si>
    <t>No solo utilizamos para proyectos grandes, podemos utilizar en proyectos de corta duración</t>
  </si>
  <si>
    <t>Nos ayudará a comprender mejor los problemas</t>
  </si>
  <si>
    <t>Nos ayudará a solucionar los problemas</t>
  </si>
  <si>
    <t>Cuando debermos utilizar six sigma?</t>
  </si>
  <si>
    <t>Cuando un problema no son simples.</t>
  </si>
  <si>
    <t>Cuando una causa no es fácil de ser resuelta.</t>
  </si>
  <si>
    <t>Cuando todavia no logramos resolver un problema</t>
  </si>
  <si>
    <t>Balanced Scorecard</t>
  </si>
  <si>
    <t>Control de las iniciativas Six Sigma</t>
  </si>
  <si>
    <t>PMI</t>
  </si>
  <si>
    <t>Gestión del proyecto que sea complejo</t>
  </si>
  <si>
    <t>Belt &amp; Equipo</t>
  </si>
  <si>
    <t>Sponsor</t>
  </si>
  <si>
    <t>Problema</t>
  </si>
  <si>
    <t>Alcance</t>
  </si>
  <si>
    <t>Indicador</t>
  </si>
  <si>
    <t>Titulo</t>
  </si>
  <si>
    <t>Meta</t>
  </si>
  <si>
    <t>Beneficios S/</t>
  </si>
  <si>
    <t>Inversión S/</t>
  </si>
  <si>
    <t>Beneficios intangibles</t>
  </si>
  <si>
    <t>Dificultades esperadas</t>
  </si>
  <si>
    <t>Riesgos esperados</t>
  </si>
  <si>
    <t>Valor base Indicador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</si>
  <si>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</si>
  <si>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</si>
  <si>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</si>
  <si>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</si>
  <si>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</si>
  <si>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</si>
  <si>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</si>
  <si>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</si>
  <si>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</si>
  <si>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</si>
  <si>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</si>
  <si>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</si>
  <si>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Definir (D)</t>
  </si>
  <si>
    <t>Medir (M)</t>
  </si>
  <si>
    <t>Analizar (A)</t>
  </si>
  <si>
    <t>Mejorar (I)</t>
  </si>
  <si>
    <t>Controlar ( C)</t>
  </si>
  <si>
    <t>Planeado</t>
  </si>
  <si>
    <t>Ejecutado</t>
  </si>
  <si>
    <t>PASOS / CONTROL</t>
  </si>
  <si>
    <t>No proyecto:</t>
  </si>
  <si>
    <t>Actualizado:</t>
  </si>
  <si>
    <t xml:space="preserve">Nos dijeron que nuestra pizzería tenía una gran cantidad de quejas sobre entregas tardías (de pizzas). Y sabemos que el </t>
  </si>
  <si>
    <t>el consumidor puede comenzar a llamar a la competencia.</t>
  </si>
  <si>
    <t>Los accionistas están impacientes, el Gerente General pide acciones, el Gerente Comercial solicita un proyecto Six Sigma</t>
  </si>
  <si>
    <t>a su personal.</t>
  </si>
  <si>
    <t>Dato:</t>
  </si>
  <si>
    <t>El tiempo medio de entrega es de 45 minutos</t>
  </si>
  <si>
    <t>DEFINIR:</t>
  </si>
  <si>
    <t>El problema es la gran cantidad e quejas por entregas atrasadas de las pizzas</t>
  </si>
  <si>
    <t>La competencia esta atenta.</t>
  </si>
  <si>
    <t>Como se va a medir el problema?</t>
  </si>
  <si>
    <t>Por el tiempo de entrega (variable Y)</t>
  </si>
  <si>
    <t>ANALIZAR:</t>
  </si>
  <si>
    <t>Cuáles son las causas del problema</t>
  </si>
  <si>
    <t>Cuáles son las variables más significativas</t>
  </si>
  <si>
    <t>Se desdobla el problema</t>
  </si>
  <si>
    <t>Causa - Raiz</t>
  </si>
  <si>
    <t>Confirmación</t>
  </si>
  <si>
    <t>Alta rotación personal</t>
  </si>
  <si>
    <t>Falta de entrenamiento</t>
  </si>
  <si>
    <t>Bajo salario</t>
  </si>
  <si>
    <t>Muchas rutas nuevas</t>
  </si>
  <si>
    <t>Falta de capacidad de horno (días pico)</t>
  </si>
  <si>
    <t>Falta de ingredientes</t>
  </si>
  <si>
    <t>Reportes de RH confirman alta rotación</t>
  </si>
  <si>
    <t>Diversas fallas operacionales están relacionadas por falta de entrenamiento</t>
  </si>
  <si>
    <t>RH confirma que salario esta debajo el mercado</t>
  </si>
  <si>
    <t>Reportes de pérdidas de producción son de un 25%</t>
  </si>
  <si>
    <t>Reportes de pérdidas de producción son de un 47%, es la principal</t>
  </si>
  <si>
    <t>MEJORAR:</t>
  </si>
  <si>
    <t>Establecer acciones de mejora</t>
  </si>
  <si>
    <t>Acción</t>
  </si>
  <si>
    <t>Plazo</t>
  </si>
  <si>
    <t xml:space="preserve">Responsable </t>
  </si>
  <si>
    <t>Prioridad</t>
  </si>
  <si>
    <t>Revisar los requisitos de la función y seleccionar con mayor rigurosidad al personal</t>
  </si>
  <si>
    <t>RH</t>
  </si>
  <si>
    <t>Mejorar la formación sobre los puntos observados</t>
  </si>
  <si>
    <t>Discutir el problema con el Gerente General y Gerente de RH</t>
  </si>
  <si>
    <t>Proveer de equipo para ubicación inmediata</t>
  </si>
  <si>
    <t>OP</t>
  </si>
  <si>
    <t>Presentar proyecto de ampliación de horno</t>
  </si>
  <si>
    <t>Presentar un sub proyecto Six Sigma para gestión de materiales</t>
  </si>
  <si>
    <t>CONTROLAR:</t>
  </si>
  <si>
    <t>Crear mecanismos para garantizar las mejoras obtenidas</t>
  </si>
  <si>
    <t>Eficacia</t>
  </si>
  <si>
    <t>OK</t>
  </si>
  <si>
    <t>Rotación disminuido</t>
  </si>
  <si>
    <t>Fallas disminuidas</t>
  </si>
  <si>
    <t>Bonos otorgados por entregas a tiempo</t>
  </si>
  <si>
    <t>Inversión realizada en Agosto</t>
  </si>
  <si>
    <t>Esta en la fase de medición</t>
  </si>
  <si>
    <t>El tiempo medio de entrega esta cayendo.</t>
  </si>
  <si>
    <t>Se va a monitorerar la evolución</t>
  </si>
  <si>
    <t>Todas las acciones están siendo implementadas y se va a reforzar para llegar lo más pronto a la meta</t>
  </si>
  <si>
    <t>COMO HACER UN PROYECTO SIX SIGMA DE MANERA CORRECTA:</t>
  </si>
  <si>
    <t>Escoger los mayores problemas</t>
  </si>
  <si>
    <t>Proporcionar todas las herramientas necesarias, recursos y soporte gerencial para resolver el problema</t>
  </si>
  <si>
    <t>Asegurar que el equipo pueda trabajar con dedicación al proyecto sin interrupciones con la debida priorizacion</t>
  </si>
  <si>
    <t>Implantar las soluciones y medir los resultados</t>
  </si>
  <si>
    <t>BARRERAS POTENCIALES PARA EL ÉXITO DEL EQUIPO SIX SIGMA:</t>
  </si>
  <si>
    <t>Proyecto muy complejo</t>
  </si>
  <si>
    <t>Equipo sin apoyo de la Gerencia, poco involucramiento el sponsor.</t>
  </si>
  <si>
    <t>Objetivos poco significativos y en conflicto con otros proyectos</t>
  </si>
  <si>
    <t>Falta de medición clara de los resultados</t>
  </si>
  <si>
    <t>Equipo muy grande: lo ideal es de 3 a 6 personas</t>
  </si>
  <si>
    <t>Falta de mejora en el propio equipo</t>
  </si>
  <si>
    <t>Proyecto no alineado a las prioridades de la empresa</t>
  </si>
  <si>
    <t>Equipo no entrenado</t>
  </si>
  <si>
    <t>Ausencia de datos</t>
  </si>
  <si>
    <t>El equipo en el proyecto no esta usando la metodología de manera apropiada</t>
  </si>
  <si>
    <t>MINITAB COMO SOFTWARE MAS UTILIZADO EN SIX SIGMA</t>
  </si>
  <si>
    <t>Contiene las siguientes herramientas:</t>
  </si>
  <si>
    <t>Curva ABC o Pareto</t>
  </si>
  <si>
    <t>Diagrama Causa Efecto</t>
  </si>
  <si>
    <t>Diseño de Experimentos (DOE)</t>
  </si>
  <si>
    <t>Gage R&amp;R</t>
  </si>
  <si>
    <t>Diversos tipos de gráficos</t>
  </si>
  <si>
    <t>Previsiones (tendencias y estacionalidad)</t>
  </si>
  <si>
    <t>Análisis de varianza (ANOVA)</t>
  </si>
  <si>
    <t>Generación de distribuciones estadísticas</t>
  </si>
  <si>
    <t>Gráficos de CEP</t>
  </si>
  <si>
    <t>Estados de Capabilidades</t>
  </si>
  <si>
    <t>MEDIR:</t>
  </si>
  <si>
    <t>Muestra</t>
  </si>
  <si>
    <t>Kg 1</t>
  </si>
  <si>
    <t>Kg 2</t>
  </si>
  <si>
    <t>Kg 3</t>
  </si>
  <si>
    <t>Kg 4</t>
  </si>
  <si>
    <t>Kg 5</t>
  </si>
  <si>
    <t>Kg 6</t>
  </si>
  <si>
    <t>Kg 7</t>
  </si>
  <si>
    <t>Kg 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</si>
  <si>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</si>
  <si>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</si>
  <si>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</si>
  <si>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</si>
  <si>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</si>
  <si>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</si>
  <si>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</si>
  <si>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</si>
  <si>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</si>
  <si>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</si>
  <si>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</si>
  <si>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</si>
  <si>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</si>
  <si>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</si>
  <si>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</si>
  <si>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</si>
  <si>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</si>
  <si>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</si>
  <si>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</si>
  <si>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</si>
  <si>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soles sin IGV</t>
  </si>
  <si>
    <t>Gráfica de Proceso "X" y "R" y calcular la capacidad de proceso "Cp" y "Cpk"</t>
  </si>
  <si>
    <t>Z bench, CEP (Control Estadístico de Procesos), Gráfico de Gantt, Costo-Beneficio, Intervalo de confianza, Matriz de responsabilidades, Plan de control, Balanced Scorecard, Indicadores de desempeño</t>
  </si>
  <si>
    <t>Total S/</t>
  </si>
  <si>
    <t>Definir el problema y elaborar el Project Charter</t>
  </si>
  <si>
    <t>Elaborar el diagrama causa - efecto, brainstorming</t>
  </si>
  <si>
    <t>Análisis de riesgos, Z bench, Diagrama de Gantt, Costo Beneficio, Diseño de Experimentos (DOE), FMEA, Intervalo de confianza, Pareto (ABC), Regresión, Superficie de Respuesta (RSM), Matriz de priorización</t>
  </si>
  <si>
    <t>DEFINIR</t>
  </si>
  <si>
    <t xml:space="preserve">Cuando un médico examina un paciente, primero le toma mediciones, examina los sintomas: temperatura, presión, examenes de sangre. Cuando un equipo de criminalista llega al lugar del crimen su primera actividad es recolectar evidencias. En esta etapa se buscamos las causas y SINTOMAS </t>
  </si>
  <si>
    <t>Implantar medidas de control e implantar la solución</t>
  </si>
  <si>
    <t>SIX SIGMA</t>
  </si>
  <si>
    <t>Ficha técnica del proyecto (Project Char)</t>
  </si>
  <si>
    <t>Proponer una solución, probar la solución, realizar un piloto, implantar la solución</t>
  </si>
  <si>
    <t>Convocar a los mejores trabajadores relacionados</t>
  </si>
  <si>
    <t>Varios condominios nuevos y sus rutas son dejadas por el personal pérdido (Clientes A)</t>
  </si>
  <si>
    <t>Z = 3</t>
  </si>
  <si>
    <t>LAVACLIN es una empresa nacional de gran presencia en el mercado local que brinda servicio de lavado.</t>
  </si>
  <si>
    <t xml:space="preserve">Con la finalidad de poder ser más productivos y eficientes, han decidido iniciar un Proyecto Six Sigma para disminuir el nivel de saldo en la línea de lavado </t>
  </si>
  <si>
    <t>El saldo de la linea de lavado viene a ser la cantidad de Kg que se queda por mes y que no es recogido por los clientes, generando el siguiente problema:</t>
  </si>
  <si>
    <t>Se realiza el lavado, se consume recursos, se almacena pero no se cobra porque el cliente no lo recoge, dado que la empresa cuando entrega el servicio</t>
  </si>
  <si>
    <t>realiza la cobranza. Usted es el responsable del Proyecto Six Sigma y se le solicita desarrollar lo siguiente:</t>
  </si>
  <si>
    <t>COMPLETAR TODO LO INDICADO</t>
  </si>
  <si>
    <t>Data recogida de saldos de línea de lavado tomado en muestras agrupadas de 15 días.</t>
  </si>
  <si>
    <t>Se pesarón las prendas en diferentes momentos en el rango de la muestra.</t>
  </si>
  <si>
    <t>Cada Kg de ropa como saldo por entregar en promedio se cobraría</t>
  </si>
  <si>
    <t>Promedio por cobrar por día</t>
  </si>
  <si>
    <t>Desarrollar:</t>
  </si>
  <si>
    <t>Proponer 2 soluciones y decidir por una de ellas, aplicar para la decisión la Matriz de priorización</t>
  </si>
  <si>
    <t>Elaborar una matriz de responsabilidades, preparar un Plan de Control y definir un indicador de desempeño para cada actividad del plan de control</t>
  </si>
  <si>
    <t xml:space="preserve">PROJECT CHARTER </t>
  </si>
  <si>
    <t xml:space="preserve">Proyecto reducir el ingreso no percibido por saldo de lavado </t>
  </si>
  <si>
    <t>Juan Villavicencio (Black Belt), Maria Gutierrez (Yellow Belt) Pedro Torres (Green Belt), Javier Rodriguez (Usuario)</t>
  </si>
  <si>
    <t>Martin Ramirez (Gerente de Finanzas - Black Belt)</t>
  </si>
  <si>
    <t xml:space="preserve">El ingreso no percibido por el saldo de lavado que el cliente no recoje </t>
  </si>
  <si>
    <t xml:space="preserve">Operaciones - Lavanderia </t>
  </si>
  <si>
    <t>% de prendas pendientes por recoger (analisis de variabilidad)</t>
  </si>
  <si>
    <t>Conseguir financiamiento, resistencia al cambio</t>
  </si>
  <si>
    <t xml:space="preserve">Perdida de Liquidez </t>
  </si>
  <si>
    <t>PROGRAMA 2021</t>
  </si>
  <si>
    <t>GRAFICA X</t>
  </si>
  <si>
    <t xml:space="preserve">Promedio </t>
  </si>
  <si>
    <t>Dinero No P</t>
  </si>
  <si>
    <t xml:space="preserve">Rango </t>
  </si>
  <si>
    <t xml:space="preserve">LCL </t>
  </si>
  <si>
    <t>UCL</t>
  </si>
  <si>
    <t>GRAFICA DEL PROCESO X</t>
  </si>
  <si>
    <t>Datos</t>
  </si>
  <si>
    <t>A2</t>
  </si>
  <si>
    <t xml:space="preserve">UCL </t>
  </si>
  <si>
    <t>GRAFICA DEL PROCESO Y</t>
  </si>
  <si>
    <t xml:space="preserve">Datos </t>
  </si>
  <si>
    <t>D3</t>
  </si>
  <si>
    <t>D4</t>
  </si>
  <si>
    <t xml:space="preserve">Capacidad de Proceso </t>
  </si>
  <si>
    <t>CALCULO CP</t>
  </si>
  <si>
    <t>σ</t>
  </si>
  <si>
    <t xml:space="preserve">LES </t>
  </si>
  <si>
    <t>Z</t>
  </si>
  <si>
    <t xml:space="preserve">LEI </t>
  </si>
  <si>
    <t xml:space="preserve">CP </t>
  </si>
  <si>
    <t>d2</t>
  </si>
  <si>
    <t>S</t>
  </si>
  <si>
    <t>CALCULO DE CPK</t>
  </si>
  <si>
    <t xml:space="preserve">CPK </t>
  </si>
  <si>
    <t xml:space="preserve">DIAGRAMA CAUSA Y EFECTO </t>
  </si>
  <si>
    <t xml:space="preserve">Problema </t>
  </si>
  <si>
    <t xml:space="preserve">Personal </t>
  </si>
  <si>
    <t xml:space="preserve">Maquinas </t>
  </si>
  <si>
    <t xml:space="preserve">Material </t>
  </si>
  <si>
    <t xml:space="preserve">Metodos </t>
  </si>
  <si>
    <t xml:space="preserve">Mediciones </t>
  </si>
  <si>
    <t>Medio Ambiente</t>
  </si>
  <si>
    <t xml:space="preserve">Atención al Cliente mas riguroso </t>
  </si>
  <si>
    <t xml:space="preserve">Procesos de control sistematizados </t>
  </si>
  <si>
    <t xml:space="preserve">Valorización de productos por entregar </t>
  </si>
  <si>
    <t xml:space="preserve">Uso de recurso no eficiente </t>
  </si>
  <si>
    <t xml:space="preserve">Cliente sin responsabilidad </t>
  </si>
  <si>
    <t xml:space="preserve">Material informativo </t>
  </si>
  <si>
    <t>Procedimientos de productos no entregados</t>
  </si>
  <si>
    <t xml:space="preserve">Valorización de back order </t>
  </si>
  <si>
    <t xml:space="preserve">Investigación del Cliente </t>
  </si>
  <si>
    <t xml:space="preserve">Falta de procedimiento </t>
  </si>
  <si>
    <t>Requerimiento financiero</t>
  </si>
  <si>
    <t>Perdida de Liquidez</t>
  </si>
  <si>
    <t xml:space="preserve">Falta de inversión </t>
  </si>
  <si>
    <t xml:space="preserve">Falta de un SIG </t>
  </si>
  <si>
    <t xml:space="preserve">No gestión de contabilidad verde </t>
  </si>
  <si>
    <t xml:space="preserve">Falta de app de investigación </t>
  </si>
  <si>
    <t xml:space="preserve">Perdida de valor por periodo </t>
  </si>
  <si>
    <t xml:space="preserve">Falta de control </t>
  </si>
  <si>
    <t xml:space="preserve">Falta de capacitación </t>
  </si>
  <si>
    <t xml:space="preserve">Posibilidad de daño del material </t>
  </si>
  <si>
    <t xml:space="preserve">Falta de comunicación </t>
  </si>
  <si>
    <t xml:space="preserve">Uso ineficaz de espacio </t>
  </si>
  <si>
    <t xml:space="preserve">Falta de gestión </t>
  </si>
  <si>
    <t xml:space="preserve">Falta de Gestión </t>
  </si>
  <si>
    <t>Falta de conciencia</t>
  </si>
  <si>
    <t xml:space="preserve">No conoce, las consecuencias </t>
  </si>
  <si>
    <t>BRAINSTORMING</t>
  </si>
  <si>
    <t xml:space="preserve">LLUVIAS DE IDEAS </t>
  </si>
  <si>
    <t xml:space="preserve">Restructuración del área de atención al cliente </t>
  </si>
  <si>
    <t>Adquirir Software de control de existencias.</t>
  </si>
  <si>
    <t xml:space="preserve">Desarrollar las politicas de comunicación de la organización </t>
  </si>
  <si>
    <t xml:space="preserve">Desarrollar Dipticos y Tripticos donde se informe al cliente las consecuencias de no recoger los productos. </t>
  </si>
  <si>
    <t xml:space="preserve">Desarrollar los procedimientos para los productos no recogidos. </t>
  </si>
  <si>
    <t xml:space="preserve">Adquirir software de CRM donde se realice el siguimiento de los pedidos y el comportamiento de los clientes. </t>
  </si>
  <si>
    <t xml:space="preserve">Restructuración de las finanzas de corto plazo debido al efecto directo a la liquidez. </t>
  </si>
  <si>
    <t xml:space="preserve">Desarrollo de un programa de capacitación </t>
  </si>
  <si>
    <t xml:space="preserve">Utilizar las redes sociales para concientizas a los clientes para el recojo de sus prendas. </t>
  </si>
  <si>
    <t xml:space="preserve">Utilizar las redes sociales para concientizar a los clientes  sobre el efecto medioambiental por lavar y no utilizarlo. </t>
  </si>
  <si>
    <t xml:space="preserve">Las soluciones obtenidas de la lluvia de idea son: </t>
  </si>
  <si>
    <t xml:space="preserve">Los criterios analizados son: </t>
  </si>
  <si>
    <t xml:space="preserve">Impacto en la reducción del problema con el recojo del cliente de sus prendas </t>
  </si>
  <si>
    <t>Total</t>
  </si>
  <si>
    <t>Orden</t>
  </si>
  <si>
    <t xml:space="preserve">LA SOLUCION OBTENIDO EN EL ANALISIS ES: </t>
  </si>
  <si>
    <t>DESARROLLAR TRIPTICOS Y DIPTICOS (COMUNICACIÓN) AL CLIENTE EN DONDE SE EXPLIQUE LAS CONSECUENCIAS DE NO RECOGER SUS PRENDAS (CONCIENTIZAR AL CLIENTE)</t>
  </si>
  <si>
    <t xml:space="preserve">EQUIPO BLACK BELT </t>
  </si>
  <si>
    <t xml:space="preserve">Funciones </t>
  </si>
  <si>
    <t>Martin Ramirez (Directivo)</t>
  </si>
  <si>
    <t>Juan Villavicencio (Black Belt - Soporte todas las áreas)</t>
  </si>
  <si>
    <t>Maria Gutierrez (Yellow Belt)</t>
  </si>
  <si>
    <t>Pedro Torres (Green Belt)</t>
  </si>
  <si>
    <t>Javier Rodriguez (Usuario)</t>
  </si>
  <si>
    <t xml:space="preserve">MATRIZ DE RESPONSABILIDADES </t>
  </si>
  <si>
    <t xml:space="preserve">Elemento de trabajo </t>
  </si>
  <si>
    <t>Maria G.</t>
  </si>
  <si>
    <t xml:space="preserve">Pedro T. </t>
  </si>
  <si>
    <t xml:space="preserve">Javier R. </t>
  </si>
  <si>
    <t>Desarrollo de las politicas de comunicación</t>
  </si>
  <si>
    <t xml:space="preserve">P </t>
  </si>
  <si>
    <t>Aprobación de los directivos</t>
  </si>
  <si>
    <t xml:space="preserve">Desarrollo del material audivisual </t>
  </si>
  <si>
    <t>Aprobación de los directivos del material AV</t>
  </si>
  <si>
    <t>Seleccionar proveedor de impresión</t>
  </si>
  <si>
    <t>P</t>
  </si>
  <si>
    <t>Aprobar el arte final</t>
  </si>
  <si>
    <t xml:space="preserve">Aprobar los materiales impresos finales </t>
  </si>
  <si>
    <t xml:space="preserve">Entregar el material a los diferentes locales. </t>
  </si>
  <si>
    <t>Verificar el cumplimiento de la entrega</t>
  </si>
  <si>
    <t xml:space="preserve">Medir el impacto de las medidas </t>
  </si>
  <si>
    <t xml:space="preserve">P: responsabilidad Principal </t>
  </si>
  <si>
    <t>S: responsabilidad de Soporte</t>
  </si>
  <si>
    <t xml:space="preserve">PLAN DE CONTROL </t>
  </si>
  <si>
    <t xml:space="preserve">Fecha </t>
  </si>
  <si>
    <t>Proceso: Reducción de prendas no recogidos por el cliente</t>
  </si>
  <si>
    <t xml:space="preserve">Preparado </t>
  </si>
  <si>
    <t xml:space="preserve">Revisado </t>
  </si>
  <si>
    <t xml:space="preserve">Aprobado </t>
  </si>
  <si>
    <t xml:space="preserve">Flujo de Proceso </t>
  </si>
  <si>
    <t>Equipo</t>
  </si>
  <si>
    <t>Caracteristicas</t>
  </si>
  <si>
    <t xml:space="preserve">Tipo </t>
  </si>
  <si>
    <t xml:space="preserve">Métodos </t>
  </si>
  <si>
    <t xml:space="preserve">Por </t>
  </si>
  <si>
    <t xml:space="preserve">Métodos de Analisis </t>
  </si>
  <si>
    <t xml:space="preserve">Nro </t>
  </si>
  <si>
    <t xml:space="preserve">Operación </t>
  </si>
  <si>
    <t>Parametro Proc</t>
  </si>
  <si>
    <t xml:space="preserve">Caract. Product </t>
  </si>
  <si>
    <t>Especificac.</t>
  </si>
  <si>
    <t xml:space="preserve">Técnica eval. </t>
  </si>
  <si>
    <t>Tamaño de Muestra</t>
  </si>
  <si>
    <t>Gabinete</t>
  </si>
  <si>
    <t>Manual de procedimientos</t>
  </si>
  <si>
    <t xml:space="preserve">Nivel de cumplimiento </t>
  </si>
  <si>
    <t>Virtual</t>
  </si>
  <si>
    <t xml:space="preserve">Cuantitativo </t>
  </si>
  <si>
    <t>Deductivo</t>
  </si>
  <si>
    <t xml:space="preserve">Ficha de aprobación </t>
  </si>
  <si>
    <t>Ficha aprobada</t>
  </si>
  <si>
    <t>Fisica</t>
  </si>
  <si>
    <t>Cualitativo</t>
  </si>
  <si>
    <t>Proveedor</t>
  </si>
  <si>
    <t xml:space="preserve">Parte de trabajo </t>
  </si>
  <si>
    <t xml:space="preserve">Fecha de entrega </t>
  </si>
  <si>
    <t xml:space="preserve">Virtual </t>
  </si>
  <si>
    <t xml:space="preserve">Logistica </t>
  </si>
  <si>
    <t xml:space="preserve">Cuadro comparativo </t>
  </si>
  <si>
    <t xml:space="preserve">Selección del Proveedor </t>
  </si>
  <si>
    <t xml:space="preserve">Almacen </t>
  </si>
  <si>
    <t>Transportes</t>
  </si>
  <si>
    <t>Guia de remision</t>
  </si>
  <si>
    <t>% de recepción de las tiendas</t>
  </si>
  <si>
    <t xml:space="preserve">Comercial </t>
  </si>
  <si>
    <t>Cargo de entrega</t>
  </si>
  <si>
    <t>% de cumplimiento</t>
  </si>
  <si>
    <t xml:space="preserve">CRM </t>
  </si>
  <si>
    <t>Reducción de prendas no entregada</t>
  </si>
  <si>
    <t xml:space="preserve">INDICADOR </t>
  </si>
  <si>
    <t xml:space="preserve">INDICADORES </t>
  </si>
  <si>
    <t xml:space="preserve">Puntaje en la matriz de selección de proveedor </t>
  </si>
  <si>
    <t>Nro de fichas Aprobadas</t>
  </si>
  <si>
    <t xml:space="preserve">% stock de prendas sin recoger </t>
  </si>
  <si>
    <t>3. Los temas complejos deben desdoblarze para encontrar el origen de ellos problemas y enfocarse (no queremos hacer una ensalada)</t>
  </si>
  <si>
    <t>Identificar las CAUSAS del problema</t>
  </si>
  <si>
    <t>CEP (control estadístico Procesos)</t>
  </si>
  <si>
    <t>Reducir en 50% en los proximos MESES</t>
  </si>
  <si>
    <t>El Cliente no recoje sus prendas lavadas</t>
  </si>
  <si>
    <t>Software (CMR) revisar el historial del cliente</t>
  </si>
  <si>
    <t>Sistema de almacenamiento de Prendas</t>
  </si>
  <si>
    <t xml:space="preserve">Inventarios de prendas en exceso 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</si>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</sst>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_ ;[Red]\-#,##0.00\ "/>
    <numFmt numFmtId="165" formatCode="_ &quot;S/.&quot;\ * #,##0.00_ ;_ &quot;S/.&quot;\ * \-#,##0.00_ ;_ &quot;S/.&quot;\ * &quot;-&quot;??_ ;_ @_ "/>
    <numFmt numFmtId="166" formatCode="#,##0.0_ ;[Red]\-#,##0.0\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7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vertical="center" wrapText="1"/>
    </xf>
    <xf numFmtId="0" fontId="1" fillId="2" borderId="0" xfId="0" applyFont="1" applyFill="1"/>
    <xf numFmtId="0" fontId="0" fillId="2" borderId="1" xfId="0" applyFill="1" applyBorder="1"/>
    <xf numFmtId="0" fontId="2" fillId="8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0" fillId="5" borderId="1" xfId="0" applyFill="1" applyBorder="1"/>
    <xf numFmtId="16" fontId="0" fillId="2" borderId="0" xfId="0" applyNumberFormat="1" applyFill="1" applyAlignment="1">
      <alignment horizontal="center"/>
    </xf>
    <xf numFmtId="0" fontId="1" fillId="11" borderId="0" xfId="0" applyFon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6" fillId="2" borderId="0" xfId="0" applyFont="1" applyFill="1"/>
    <xf numFmtId="0" fontId="8" fillId="12" borderId="0" xfId="0" applyFont="1" applyFill="1"/>
    <xf numFmtId="0" fontId="0" fillId="12" borderId="0" xfId="0" applyFill="1"/>
    <xf numFmtId="14" fontId="0" fillId="2" borderId="0" xfId="0" applyNumberFormat="1" applyFill="1"/>
    <xf numFmtId="165" fontId="0" fillId="2" borderId="0" xfId="1" applyFont="1" applyFill="1"/>
    <xf numFmtId="165" fontId="0" fillId="2" borderId="0" xfId="0" applyNumberFormat="1" applyFill="1"/>
    <xf numFmtId="0" fontId="9" fillId="12" borderId="0" xfId="0" applyFont="1" applyFill="1"/>
    <xf numFmtId="0" fontId="10" fillId="12" borderId="0" xfId="0" applyFont="1" applyFill="1"/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/>
    <xf numFmtId="165" fontId="0" fillId="2" borderId="1" xfId="1" applyFont="1" applyFill="1" applyBorder="1"/>
    <xf numFmtId="165" fontId="0" fillId="2" borderId="1" xfId="0" applyNumberFormat="1" applyFill="1" applyBorder="1"/>
    <xf numFmtId="0" fontId="11" fillId="12" borderId="0" xfId="0" applyFont="1" applyFill="1"/>
    <xf numFmtId="0" fontId="1" fillId="12" borderId="0" xfId="0" applyFont="1" applyFill="1"/>
    <xf numFmtId="0" fontId="1" fillId="0" borderId="0" xfId="0" applyFont="1"/>
    <xf numFmtId="0" fontId="0" fillId="11" borderId="1" xfId="0" applyFill="1" applyBorder="1"/>
    <xf numFmtId="165" fontId="0" fillId="11" borderId="1" xfId="1" applyFont="1" applyFill="1" applyBorder="1"/>
    <xf numFmtId="0" fontId="0" fillId="12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2" fillId="0" borderId="0" xfId="0" applyFont="1"/>
    <xf numFmtId="0" fontId="12" fillId="12" borderId="0" xfId="0" applyFont="1" applyFill="1"/>
    <xf numFmtId="0" fontId="1" fillId="15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12" borderId="1" xfId="0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90"/>
    </xf>
    <xf numFmtId="0" fontId="14" fillId="5" borderId="6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0" fillId="14" borderId="6" xfId="0" applyFont="1" applyFill="1" applyBorder="1" applyAlignment="1">
      <alignment horizontal="center" wrapText="1"/>
    </xf>
    <xf numFmtId="0" fontId="10" fillId="14" borderId="5" xfId="0" applyFont="1" applyFill="1" applyBorder="1" applyAlignment="1">
      <alignment horizontal="center" wrapText="1"/>
    </xf>
    <xf numFmtId="0" fontId="10" fillId="14" borderId="8" xfId="0" applyFont="1" applyFill="1" applyBorder="1" applyAlignment="1">
      <alignment horizontal="center" wrapText="1"/>
    </xf>
    <xf numFmtId="0" fontId="10" fillId="14" borderId="7" xfId="0" applyFont="1" applyFill="1" applyBorder="1" applyAlignment="1">
      <alignment horizontal="center" wrapText="1"/>
    </xf>
    <xf numFmtId="0" fontId="10" fillId="14" borderId="11" xfId="0" applyFont="1" applyFill="1" applyBorder="1" applyAlignment="1">
      <alignment horizontal="center" wrapText="1"/>
    </xf>
    <xf numFmtId="0" fontId="10" fillId="14" borderId="10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13" borderId="1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15" fillId="0" borderId="0" xfId="0" applyFont="1"/>
  </cellXfs>
  <cellStyles count="2">
    <cellStyle name="Moneda 2" xfId="1" xr:uid="{458E4321-591B-479C-97E7-EEA8E22401B0}"/>
    <cellStyle name="Normal" xfId="0" builtinId="0"/>
  </cellStyles>
  <dxfs count="0"/>
  <tableStyles count="1" defaultTableStyle="TableStyleMedium2" defaultPivotStyle="PivotStyleLight16">
    <tableStyle name="Invisible" pivot="0" table="0" count="0" xr9:uid="{2086762F-C7C0-43DE-9A5E-7FDB446FDC46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Grafica</a:t>
            </a:r>
            <a:r>
              <a:rPr lang="es-PE" baseline="0"/>
              <a:t> X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6030380577427822"/>
          <c:y val="0.21800925925925929"/>
          <c:w val="0.79525174978127733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SOLUCION!$K$52</c:f>
              <c:strCache>
                <c:ptCount val="1"/>
                <c:pt idx="0">
                  <c:v>Dinero No 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SOLUCION!$K$53:$K$72</c:f>
              <c:numCache>
                <c:formatCode>_ "S/."\ * #,##0.00_ ;_ "S/."\ * \-#,##0.00_ ;_ "S/."\ * "-"??_ ;_ @_ </c:formatCode>
                <c:ptCount val="20"/>
                <c:pt idx="0">
                  <c:v>2214.33</c:v>
                </c:pt>
                <c:pt idx="1">
                  <c:v>1683.9599999999998</c:v>
                </c:pt>
                <c:pt idx="2">
                  <c:v>2843.5199999999995</c:v>
                </c:pt>
                <c:pt idx="3">
                  <c:v>2829.6449999999995</c:v>
                </c:pt>
                <c:pt idx="4">
                  <c:v>2801.76</c:v>
                </c:pt>
                <c:pt idx="5">
                  <c:v>2727.0299999999997</c:v>
                </c:pt>
                <c:pt idx="6">
                  <c:v>2935.95</c:v>
                </c:pt>
                <c:pt idx="7">
                  <c:v>2277.75</c:v>
                </c:pt>
                <c:pt idx="8">
                  <c:v>2612.7300000000005</c:v>
                </c:pt>
                <c:pt idx="9">
                  <c:v>2701.7100000000005</c:v>
                </c:pt>
                <c:pt idx="10">
                  <c:v>2499.0150000000003</c:v>
                </c:pt>
                <c:pt idx="11">
                  <c:v>2575.9650000000001</c:v>
                </c:pt>
                <c:pt idx="12">
                  <c:v>2682.585</c:v>
                </c:pt>
                <c:pt idx="13">
                  <c:v>2514.5700000000002</c:v>
                </c:pt>
                <c:pt idx="14">
                  <c:v>2811.81</c:v>
                </c:pt>
                <c:pt idx="15">
                  <c:v>2720.0549999999998</c:v>
                </c:pt>
                <c:pt idx="16">
                  <c:v>2787.9750000000004</c:v>
                </c:pt>
                <c:pt idx="17">
                  <c:v>2371.6350000000002</c:v>
                </c:pt>
                <c:pt idx="18">
                  <c:v>2487.42</c:v>
                </c:pt>
                <c:pt idx="19">
                  <c:v>3034.335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D-49CF-B8DB-5A4618625FD7}"/>
            </c:ext>
          </c:extLst>
        </c:ser>
        <c:ser>
          <c:idx val="1"/>
          <c:order val="1"/>
          <c:tx>
            <c:strRef>
              <c:f>SOLUCION!$M$52</c:f>
              <c:strCache>
                <c:ptCount val="1"/>
                <c:pt idx="0">
                  <c:v>LCL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SOLUCION!$M$53:$M$72</c:f>
              <c:numCache>
                <c:formatCode>_ "S/."\ * #,##0.00_ ;_ "S/."\ * \-#,##0.00_ ;_ "S/."\ * "-"??_ ;_ @_ </c:formatCode>
                <c:ptCount val="20"/>
                <c:pt idx="0">
                  <c:v>1926.8439119999998</c:v>
                </c:pt>
                <c:pt idx="1">
                  <c:v>1926.8439119999998</c:v>
                </c:pt>
                <c:pt idx="2">
                  <c:v>1926.8439119999998</c:v>
                </c:pt>
                <c:pt idx="3">
                  <c:v>1926.8439119999998</c:v>
                </c:pt>
                <c:pt idx="4">
                  <c:v>1926.8439119999998</c:v>
                </c:pt>
                <c:pt idx="5">
                  <c:v>1926.8439119999998</c:v>
                </c:pt>
                <c:pt idx="6">
                  <c:v>1926.8439119999998</c:v>
                </c:pt>
                <c:pt idx="7">
                  <c:v>1926.8439119999998</c:v>
                </c:pt>
                <c:pt idx="8">
                  <c:v>1926.8439119999998</c:v>
                </c:pt>
                <c:pt idx="9">
                  <c:v>1926.8439119999998</c:v>
                </c:pt>
                <c:pt idx="10">
                  <c:v>1926.8439119999998</c:v>
                </c:pt>
                <c:pt idx="11">
                  <c:v>1926.8439119999998</c:v>
                </c:pt>
                <c:pt idx="12">
                  <c:v>1926.8439119999998</c:v>
                </c:pt>
                <c:pt idx="13">
                  <c:v>1926.8439119999998</c:v>
                </c:pt>
                <c:pt idx="14">
                  <c:v>1926.8439119999998</c:v>
                </c:pt>
                <c:pt idx="15">
                  <c:v>1926.8439119999998</c:v>
                </c:pt>
                <c:pt idx="16">
                  <c:v>1926.8439119999998</c:v>
                </c:pt>
                <c:pt idx="17">
                  <c:v>1926.8439119999998</c:v>
                </c:pt>
                <c:pt idx="18">
                  <c:v>1926.8439119999998</c:v>
                </c:pt>
                <c:pt idx="19">
                  <c:v>1926.8439119999998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D-49CF-B8DB-5A4618625FD7}"/>
            </c:ext>
          </c:extLst>
        </c:ser>
        <c:ser>
          <c:idx val="2"/>
          <c:order val="2"/>
          <c:tx>
            <c:strRef>
              <c:f>SOLUCION!$N$52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SOLUCION!$N$53:$N$72</c:f>
              <c:numCache>
                <c:formatCode>_ "S/."\ * #,##0.00_ ;_ "S/."\ * \-#,##0.00_ ;_ "S/."\ * "-"??_ ;_ @_ </c:formatCode>
                <c:ptCount val="20"/>
                <c:pt idx="0">
                  <c:v>3284.5310879999993</c:v>
                </c:pt>
                <c:pt idx="1">
                  <c:v>3284.5310879999993</c:v>
                </c:pt>
                <c:pt idx="2">
                  <c:v>3284.5310879999993</c:v>
                </c:pt>
                <c:pt idx="3">
                  <c:v>3284.5310879999993</c:v>
                </c:pt>
                <c:pt idx="4">
                  <c:v>3284.5310879999993</c:v>
                </c:pt>
                <c:pt idx="5">
                  <c:v>3284.5310879999993</c:v>
                </c:pt>
                <c:pt idx="6">
                  <c:v>3284.5310879999993</c:v>
                </c:pt>
                <c:pt idx="7">
                  <c:v>3284.5310879999993</c:v>
                </c:pt>
                <c:pt idx="8">
                  <c:v>3284.5310879999993</c:v>
                </c:pt>
                <c:pt idx="9">
                  <c:v>3284.5310879999993</c:v>
                </c:pt>
                <c:pt idx="10">
                  <c:v>3284.5310879999993</c:v>
                </c:pt>
                <c:pt idx="11">
                  <c:v>3284.5310879999993</c:v>
                </c:pt>
                <c:pt idx="12">
                  <c:v>3284.5310879999993</c:v>
                </c:pt>
                <c:pt idx="13">
                  <c:v>3284.5310879999993</c:v>
                </c:pt>
                <c:pt idx="14">
                  <c:v>3284.5310879999993</c:v>
                </c:pt>
                <c:pt idx="15">
                  <c:v>3284.5310879999993</c:v>
                </c:pt>
                <c:pt idx="16">
                  <c:v>3284.5310879999993</c:v>
                </c:pt>
                <c:pt idx="17">
                  <c:v>3284.5310879999993</c:v>
                </c:pt>
                <c:pt idx="18">
                  <c:v>3284.5310879999993</c:v>
                </c:pt>
                <c:pt idx="19">
                  <c:v>3284.5310879999993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8D-49CF-B8DB-5A4618625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229120"/>
        <c:axId val="561230432"/>
      </c:lineChart>
      <c:catAx>
        <c:axId val="561229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61230432"/>
        <c:crosses val="autoZero"/>
        <c:auto val="1"/>
        <c:lblAlgn val="ctr"/>
        <c:lblOffset val="100"/>
        <c:noMultiLvlLbl val="0"/>
      </c:catAx>
      <c:valAx>
        <c:axId val="5612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S/.&quot;\ * #,##0.00_ ;_ &quot;S/.&quot;\ * \-#,##0.00_ ;_ &quot;S/.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612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Grafica</a:t>
            </a:r>
            <a:r>
              <a:rPr lang="es-PE" baseline="0"/>
              <a:t> R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SOLUCION!$L$52</c:f>
              <c:strCache>
                <c:ptCount val="1"/>
                <c:pt idx="0">
                  <c:v>Rango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SOLUCION!$L$53:$L$72</c:f>
              <c:numCache>
                <c:formatCode>#,##0.0_ ;[Red]\-#,##0.0\ </c:formatCode>
                <c:ptCount val="20"/>
                <c:pt idx="0">
                  <c:v>2742.0000000000005</c:v>
                </c:pt>
                <c:pt idx="1">
                  <c:v>847.92000000000007</c:v>
                </c:pt>
                <c:pt idx="2">
                  <c:v>2518.8000000000002</c:v>
                </c:pt>
                <c:pt idx="3">
                  <c:v>1645.8000000000004</c:v>
                </c:pt>
                <c:pt idx="4">
                  <c:v>1343.2799999999997</c:v>
                </c:pt>
                <c:pt idx="5">
                  <c:v>1345.8000000000004</c:v>
                </c:pt>
                <c:pt idx="6">
                  <c:v>1560.0000000000005</c:v>
                </c:pt>
                <c:pt idx="7">
                  <c:v>1972.2000000000003</c:v>
                </c:pt>
                <c:pt idx="8">
                  <c:v>2198.4</c:v>
                </c:pt>
                <c:pt idx="9">
                  <c:v>1878.8399999999997</c:v>
                </c:pt>
                <c:pt idx="10">
                  <c:v>1723.1999999999996</c:v>
                </c:pt>
                <c:pt idx="11">
                  <c:v>2529.6</c:v>
                </c:pt>
                <c:pt idx="12">
                  <c:v>1127.04</c:v>
                </c:pt>
                <c:pt idx="13">
                  <c:v>2075.9999999999995</c:v>
                </c:pt>
                <c:pt idx="14">
                  <c:v>2582.3999999999996</c:v>
                </c:pt>
                <c:pt idx="15">
                  <c:v>1568.1599999999999</c:v>
                </c:pt>
                <c:pt idx="16">
                  <c:v>1390.1999999999998</c:v>
                </c:pt>
                <c:pt idx="17">
                  <c:v>1849.1999999999996</c:v>
                </c:pt>
                <c:pt idx="18">
                  <c:v>1123.1999999999996</c:v>
                </c:pt>
                <c:pt idx="19">
                  <c:v>2377.08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4-4BD4-A9C9-7BE7988B2179}"/>
            </c:ext>
          </c:extLst>
        </c:ser>
        <c:ser>
          <c:idx val="1"/>
          <c:order val="1"/>
          <c:tx>
            <c:strRef>
              <c:f>SOLUCION!$O$52</c:f>
              <c:strCache>
                <c:ptCount val="1"/>
                <c:pt idx="0">
                  <c:v>LCL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SOLUCION!$O$53:$O$72</c:f>
              <c:numCache>
                <c:formatCode>_ "S/."\ * #,##0.00_ ;_ "S/."\ * \-#,##0.00_ ;_ "S/."\ * "-"??_ ;_ @_ </c:formatCode>
                <c:ptCount val="20"/>
                <c:pt idx="0">
                  <c:v>247.51401599999997</c:v>
                </c:pt>
                <c:pt idx="1">
                  <c:v>247.51401599999997</c:v>
                </c:pt>
                <c:pt idx="2">
                  <c:v>247.51401599999997</c:v>
                </c:pt>
                <c:pt idx="3">
                  <c:v>247.51401599999997</c:v>
                </c:pt>
                <c:pt idx="4">
                  <c:v>247.51401599999997</c:v>
                </c:pt>
                <c:pt idx="5">
                  <c:v>247.51401599999997</c:v>
                </c:pt>
                <c:pt idx="6">
                  <c:v>247.51401599999997</c:v>
                </c:pt>
                <c:pt idx="7">
                  <c:v>247.51401599999997</c:v>
                </c:pt>
                <c:pt idx="8">
                  <c:v>247.51401599999997</c:v>
                </c:pt>
                <c:pt idx="9">
                  <c:v>247.51401599999997</c:v>
                </c:pt>
                <c:pt idx="10">
                  <c:v>247.51401599999997</c:v>
                </c:pt>
                <c:pt idx="11">
                  <c:v>247.51401599999997</c:v>
                </c:pt>
                <c:pt idx="12">
                  <c:v>247.51401599999997</c:v>
                </c:pt>
                <c:pt idx="13">
                  <c:v>247.51401599999997</c:v>
                </c:pt>
                <c:pt idx="14">
                  <c:v>247.51401599999997</c:v>
                </c:pt>
                <c:pt idx="15">
                  <c:v>247.51401599999997</c:v>
                </c:pt>
                <c:pt idx="16">
                  <c:v>247.51401599999997</c:v>
                </c:pt>
                <c:pt idx="17">
                  <c:v>247.51401599999997</c:v>
                </c:pt>
                <c:pt idx="18">
                  <c:v>247.51401599999997</c:v>
                </c:pt>
                <c:pt idx="19">
                  <c:v>247.51401599999997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04-4BD4-A9C9-7BE7988B2179}"/>
            </c:ext>
          </c:extLst>
        </c:ser>
        <c:ser>
          <c:idx val="2"/>
          <c:order val="2"/>
          <c:tx>
            <c:strRef>
              <c:f>SOLUCION!$P$52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SOLUCION!$P$53:$P$72</c:f>
              <c:numCache>
                <c:formatCode>_ "S/."\ * #,##0.00_ ;_ "S/."\ * \-#,##0.00_ ;_ "S/."\ * "-"??_ ;_ @_ </c:formatCode>
                <c:ptCount val="20"/>
                <c:pt idx="0">
                  <c:v>3501.5953439999994</c:v>
                </c:pt>
                <c:pt idx="1">
                  <c:v>3501.5953439999994</c:v>
                </c:pt>
                <c:pt idx="2">
                  <c:v>3501.5953439999994</c:v>
                </c:pt>
                <c:pt idx="3">
                  <c:v>3501.5953439999994</c:v>
                </c:pt>
                <c:pt idx="4">
                  <c:v>3501.5953439999994</c:v>
                </c:pt>
                <c:pt idx="5">
                  <c:v>3501.5953439999994</c:v>
                </c:pt>
                <c:pt idx="6">
                  <c:v>3501.5953439999994</c:v>
                </c:pt>
                <c:pt idx="7">
                  <c:v>3501.5953439999994</c:v>
                </c:pt>
                <c:pt idx="8">
                  <c:v>3501.5953439999994</c:v>
                </c:pt>
                <c:pt idx="9">
                  <c:v>3501.5953439999994</c:v>
                </c:pt>
                <c:pt idx="10">
                  <c:v>3501.5953439999994</c:v>
                </c:pt>
                <c:pt idx="11">
                  <c:v>3501.5953439999994</c:v>
                </c:pt>
                <c:pt idx="12">
                  <c:v>3501.5953439999994</c:v>
                </c:pt>
                <c:pt idx="13">
                  <c:v>3501.5953439999994</c:v>
                </c:pt>
                <c:pt idx="14">
                  <c:v>3501.5953439999994</c:v>
                </c:pt>
                <c:pt idx="15">
                  <c:v>3501.5953439999994</c:v>
                </c:pt>
                <c:pt idx="16">
                  <c:v>3501.5953439999994</c:v>
                </c:pt>
                <c:pt idx="17">
                  <c:v>3501.5953439999994</c:v>
                </c:pt>
                <c:pt idx="18">
                  <c:v>3501.5953439999994</c:v>
                </c:pt>
                <c:pt idx="19">
                  <c:v>3501.5953439999994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04-4BD4-A9C9-7BE7988B2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037552"/>
        <c:axId val="525042800"/>
      </c:lineChart>
      <c:catAx>
        <c:axId val="52503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5042800"/>
        <c:crosses val="autoZero"/>
        <c:auto val="1"/>
        <c:lblAlgn val="ctr"/>
        <c:lblOffset val="100"/>
        <c:noMultiLvlLbl val="0"/>
      </c:catAx>
      <c:valAx>
        <c:axId val="5250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[Red]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503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wmf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3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15.png"/><Relationship Id="rId2" Type="http://schemas.openxmlformats.org/officeDocument/2006/relationships/image" Target="../media/image12.png"/><Relationship Id="rId16" Type="http://schemas.openxmlformats.org/officeDocument/2006/relationships/image" Target="../media/image25.png"/><Relationship Id="rId1" Type="http://schemas.openxmlformats.org/officeDocument/2006/relationships/image" Target="../media/image11.png"/><Relationship Id="rId6" Type="http://schemas.openxmlformats.org/officeDocument/2006/relationships/image" Target="../media/image17.emf"/><Relationship Id="rId11" Type="http://schemas.openxmlformats.org/officeDocument/2006/relationships/image" Target="../media/image22.wmf"/><Relationship Id="rId5" Type="http://schemas.openxmlformats.org/officeDocument/2006/relationships/image" Target="../media/image16.png"/><Relationship Id="rId15" Type="http://schemas.openxmlformats.org/officeDocument/2006/relationships/chart" Target="../charts/chart2.xml"/><Relationship Id="rId10" Type="http://schemas.openxmlformats.org/officeDocument/2006/relationships/image" Target="../media/image21.wmf"/><Relationship Id="rId4" Type="http://schemas.openxmlformats.org/officeDocument/2006/relationships/image" Target="../media/image14.png"/><Relationship Id="rId9" Type="http://schemas.openxmlformats.org/officeDocument/2006/relationships/image" Target="../media/image20.wmf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7437935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6B943C1-7B0D-49E4-AC2A-328813FE4008}"/>
            </a:ext>
          </a:extLst>
        </xdr:cNvPr>
        <xdr:cNvSpPr/>
      </xdr:nvSpPr>
      <xdr:spPr>
        <a:xfrm>
          <a:off x="9525" y="0"/>
          <a:ext cx="7437935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LA METODOLOGIA</a:t>
          </a:r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SIX SIGMA: DMAIC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>
    <xdr:from>
      <xdr:col>0</xdr:col>
      <xdr:colOff>323850</xdr:colOff>
      <xdr:row>14</xdr:row>
      <xdr:rowOff>123825</xdr:rowOff>
    </xdr:from>
    <xdr:to>
      <xdr:col>2</xdr:col>
      <xdr:colOff>828675</xdr:colOff>
      <xdr:row>18</xdr:row>
      <xdr:rowOff>66675</xdr:rowOff>
    </xdr:to>
    <xdr:sp macro="" textlink="">
      <xdr:nvSpPr>
        <xdr:cNvPr id="3" name="Flecha: pentágono 2">
          <a:extLst>
            <a:ext uri="{FF2B5EF4-FFF2-40B4-BE49-F238E27FC236}">
              <a16:creationId xmlns:a16="http://schemas.microsoft.com/office/drawing/2014/main" id="{5B835BA8-B372-4852-BAA9-763F0F730EA0}"/>
            </a:ext>
          </a:extLst>
        </xdr:cNvPr>
        <xdr:cNvSpPr/>
      </xdr:nvSpPr>
      <xdr:spPr>
        <a:xfrm>
          <a:off x="323850" y="4124325"/>
          <a:ext cx="1638300" cy="7048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2400" b="1"/>
            <a:t>Definir</a:t>
          </a:r>
        </a:p>
      </xdr:txBody>
    </xdr:sp>
    <xdr:clientData/>
  </xdr:twoCellAnchor>
  <xdr:twoCellAnchor>
    <xdr:from>
      <xdr:col>2</xdr:col>
      <xdr:colOff>876300</xdr:colOff>
      <xdr:row>14</xdr:row>
      <xdr:rowOff>161925</xdr:rowOff>
    </xdr:from>
    <xdr:to>
      <xdr:col>2</xdr:col>
      <xdr:colOff>2514600</xdr:colOff>
      <xdr:row>18</xdr:row>
      <xdr:rowOff>104775</xdr:rowOff>
    </xdr:to>
    <xdr:sp macro="" textlink="">
      <xdr:nvSpPr>
        <xdr:cNvPr id="4" name="Flecha: pentágono 3">
          <a:extLst>
            <a:ext uri="{FF2B5EF4-FFF2-40B4-BE49-F238E27FC236}">
              <a16:creationId xmlns:a16="http://schemas.microsoft.com/office/drawing/2014/main" id="{B368647B-61EC-497D-90A2-4D1718C14D70}"/>
            </a:ext>
          </a:extLst>
        </xdr:cNvPr>
        <xdr:cNvSpPr/>
      </xdr:nvSpPr>
      <xdr:spPr>
        <a:xfrm>
          <a:off x="2009775" y="4162425"/>
          <a:ext cx="1638300" cy="704850"/>
        </a:xfrm>
        <a:prstGeom prst="homePlat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2400" b="1"/>
            <a:t>Medir</a:t>
          </a:r>
        </a:p>
      </xdr:txBody>
    </xdr:sp>
    <xdr:clientData/>
  </xdr:twoCellAnchor>
  <xdr:twoCellAnchor>
    <xdr:from>
      <xdr:col>2</xdr:col>
      <xdr:colOff>2533650</xdr:colOff>
      <xdr:row>14</xdr:row>
      <xdr:rowOff>152400</xdr:rowOff>
    </xdr:from>
    <xdr:to>
      <xdr:col>3</xdr:col>
      <xdr:colOff>1457325</xdr:colOff>
      <xdr:row>18</xdr:row>
      <xdr:rowOff>95250</xdr:rowOff>
    </xdr:to>
    <xdr:sp macro="" textlink="">
      <xdr:nvSpPr>
        <xdr:cNvPr id="5" name="Flecha: pentágono 4">
          <a:extLst>
            <a:ext uri="{FF2B5EF4-FFF2-40B4-BE49-F238E27FC236}">
              <a16:creationId xmlns:a16="http://schemas.microsoft.com/office/drawing/2014/main" id="{66D796CC-52F9-48D3-AA23-637685972059}"/>
            </a:ext>
          </a:extLst>
        </xdr:cNvPr>
        <xdr:cNvSpPr/>
      </xdr:nvSpPr>
      <xdr:spPr>
        <a:xfrm>
          <a:off x="3667125" y="4152900"/>
          <a:ext cx="1638300" cy="704850"/>
        </a:xfrm>
        <a:prstGeom prst="homePlat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2400" b="1"/>
            <a:t>Analizar</a:t>
          </a:r>
        </a:p>
      </xdr:txBody>
    </xdr:sp>
    <xdr:clientData/>
  </xdr:twoCellAnchor>
  <xdr:twoCellAnchor>
    <xdr:from>
      <xdr:col>3</xdr:col>
      <xdr:colOff>1495425</xdr:colOff>
      <xdr:row>14</xdr:row>
      <xdr:rowOff>171450</xdr:rowOff>
    </xdr:from>
    <xdr:to>
      <xdr:col>3</xdr:col>
      <xdr:colOff>3133725</xdr:colOff>
      <xdr:row>18</xdr:row>
      <xdr:rowOff>114300</xdr:rowOff>
    </xdr:to>
    <xdr:sp macro="" textlink="">
      <xdr:nvSpPr>
        <xdr:cNvPr id="6" name="Flecha: pentágono 5">
          <a:extLst>
            <a:ext uri="{FF2B5EF4-FFF2-40B4-BE49-F238E27FC236}">
              <a16:creationId xmlns:a16="http://schemas.microsoft.com/office/drawing/2014/main" id="{4D900471-3546-4DE5-9FB0-F38DFE61E95B}"/>
            </a:ext>
          </a:extLst>
        </xdr:cNvPr>
        <xdr:cNvSpPr/>
      </xdr:nvSpPr>
      <xdr:spPr>
        <a:xfrm>
          <a:off x="5343525" y="4171950"/>
          <a:ext cx="1638300" cy="704850"/>
        </a:xfrm>
        <a:prstGeom prst="homePlate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2400" b="1"/>
            <a:t>Mejorar</a:t>
          </a:r>
        </a:p>
      </xdr:txBody>
    </xdr:sp>
    <xdr:clientData/>
  </xdr:twoCellAnchor>
  <xdr:twoCellAnchor>
    <xdr:from>
      <xdr:col>3</xdr:col>
      <xdr:colOff>3171825</xdr:colOff>
      <xdr:row>14</xdr:row>
      <xdr:rowOff>180975</xdr:rowOff>
    </xdr:from>
    <xdr:to>
      <xdr:col>5</xdr:col>
      <xdr:colOff>209550</xdr:colOff>
      <xdr:row>18</xdr:row>
      <xdr:rowOff>123825</xdr:rowOff>
    </xdr:to>
    <xdr:sp macro="" textlink="">
      <xdr:nvSpPr>
        <xdr:cNvPr id="7" name="Flecha: pentágono 6">
          <a:extLst>
            <a:ext uri="{FF2B5EF4-FFF2-40B4-BE49-F238E27FC236}">
              <a16:creationId xmlns:a16="http://schemas.microsoft.com/office/drawing/2014/main" id="{0B41DAB7-1BC3-4A27-B9E2-69F4B073BA2D}"/>
            </a:ext>
          </a:extLst>
        </xdr:cNvPr>
        <xdr:cNvSpPr/>
      </xdr:nvSpPr>
      <xdr:spPr>
        <a:xfrm>
          <a:off x="7019925" y="4181475"/>
          <a:ext cx="1638300" cy="704850"/>
        </a:xfrm>
        <a:prstGeom prst="homePlat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2400" b="1"/>
            <a:t>Controlar</a:t>
          </a:r>
        </a:p>
      </xdr:txBody>
    </xdr:sp>
    <xdr:clientData/>
  </xdr:twoCellAnchor>
  <xdr:twoCellAnchor>
    <xdr:from>
      <xdr:col>1</xdr:col>
      <xdr:colOff>0</xdr:colOff>
      <xdr:row>18</xdr:row>
      <xdr:rowOff>95250</xdr:rowOff>
    </xdr:from>
    <xdr:to>
      <xdr:col>2</xdr:col>
      <xdr:colOff>809625</xdr:colOff>
      <xdr:row>21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B079A96-9083-44BE-96E4-90509EF39B9F}"/>
            </a:ext>
          </a:extLst>
        </xdr:cNvPr>
        <xdr:cNvSpPr txBox="1"/>
      </xdr:nvSpPr>
      <xdr:spPr>
        <a:xfrm>
          <a:off x="342900" y="4857750"/>
          <a:ext cx="160020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Definir el proyecto</a:t>
          </a:r>
        </a:p>
        <a:p>
          <a:pPr algn="l"/>
          <a:r>
            <a:rPr lang="es-419" sz="1100" b="1"/>
            <a:t>DEFINICIÓN DE "Y"</a:t>
          </a:r>
        </a:p>
      </xdr:txBody>
    </xdr:sp>
    <xdr:clientData/>
  </xdr:twoCellAnchor>
  <xdr:twoCellAnchor>
    <xdr:from>
      <xdr:col>2</xdr:col>
      <xdr:colOff>876300</xdr:colOff>
      <xdr:row>18</xdr:row>
      <xdr:rowOff>142875</xdr:rowOff>
    </xdr:from>
    <xdr:to>
      <xdr:col>2</xdr:col>
      <xdr:colOff>2419350</xdr:colOff>
      <xdr:row>22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239B2F6-1132-4BB7-AD1E-F18820049EE1}"/>
            </a:ext>
          </a:extLst>
        </xdr:cNvPr>
        <xdr:cNvSpPr txBox="1"/>
      </xdr:nvSpPr>
      <xdr:spPr>
        <a:xfrm>
          <a:off x="2009775" y="4905375"/>
          <a:ext cx="15430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Recolectar datos, medir los sintomas, </a:t>
          </a:r>
          <a:r>
            <a:rPr lang="es-419" sz="1100" b="1"/>
            <a:t>DESCRIPCION DE "Y"</a:t>
          </a:r>
        </a:p>
      </xdr:txBody>
    </xdr:sp>
    <xdr:clientData/>
  </xdr:twoCellAnchor>
  <xdr:twoCellAnchor>
    <xdr:from>
      <xdr:col>2</xdr:col>
      <xdr:colOff>2495550</xdr:colOff>
      <xdr:row>18</xdr:row>
      <xdr:rowOff>123824</xdr:rowOff>
    </xdr:from>
    <xdr:to>
      <xdr:col>3</xdr:col>
      <xdr:colOff>1419225</xdr:colOff>
      <xdr:row>22</xdr:row>
      <xdr:rowOff>9525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7EF78DA-B2D9-495F-ADC3-6D01A17B20B4}"/>
            </a:ext>
          </a:extLst>
        </xdr:cNvPr>
        <xdr:cNvSpPr txBox="1"/>
      </xdr:nvSpPr>
      <xdr:spPr>
        <a:xfrm>
          <a:off x="3629025" y="4886324"/>
          <a:ext cx="1638300" cy="647701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Identificar</a:t>
          </a:r>
          <a:r>
            <a:rPr lang="es-419" sz="1100" baseline="0"/>
            <a:t> las Causa - Raiz</a:t>
          </a:r>
        </a:p>
        <a:p>
          <a:pPr algn="l"/>
          <a:r>
            <a:rPr lang="es-419" sz="1100" b="1" baseline="0"/>
            <a:t>IDENTIFICACION DE "X"</a:t>
          </a:r>
          <a:endParaRPr lang="es-419" sz="1100" b="1"/>
        </a:p>
      </xdr:txBody>
    </xdr:sp>
    <xdr:clientData/>
  </xdr:twoCellAnchor>
  <xdr:twoCellAnchor>
    <xdr:from>
      <xdr:col>3</xdr:col>
      <xdr:colOff>1495425</xdr:colOff>
      <xdr:row>18</xdr:row>
      <xdr:rowOff>142875</xdr:rowOff>
    </xdr:from>
    <xdr:to>
      <xdr:col>3</xdr:col>
      <xdr:colOff>3057525</xdr:colOff>
      <xdr:row>22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C7E3FD2-4E7D-4AAC-ADF4-E1CAE1ECB45A}"/>
            </a:ext>
          </a:extLst>
        </xdr:cNvPr>
        <xdr:cNvSpPr txBox="1"/>
      </xdr:nvSpPr>
      <xdr:spPr>
        <a:xfrm>
          <a:off x="5343525" y="4905375"/>
          <a:ext cx="156210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Generar solución</a:t>
          </a:r>
          <a:r>
            <a:rPr lang="es-419" sz="1100" baseline="0"/>
            <a:t> y testear (Plan de Acción) </a:t>
          </a:r>
          <a:r>
            <a:rPr lang="es-419" sz="1100" b="1" baseline="0"/>
            <a:t>SOLUCION "X"</a:t>
          </a:r>
          <a:endParaRPr lang="es-419" sz="1100" b="1"/>
        </a:p>
      </xdr:txBody>
    </xdr:sp>
    <xdr:clientData/>
  </xdr:twoCellAnchor>
  <xdr:twoCellAnchor>
    <xdr:from>
      <xdr:col>3</xdr:col>
      <xdr:colOff>3171825</xdr:colOff>
      <xdr:row>18</xdr:row>
      <xdr:rowOff>152400</xdr:rowOff>
    </xdr:from>
    <xdr:to>
      <xdr:col>5</xdr:col>
      <xdr:colOff>257175</xdr:colOff>
      <xdr:row>22</xdr:row>
      <xdr:rowOff>9525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4FE15A4-3F4B-4A8C-95B3-D0424D98172D}"/>
            </a:ext>
          </a:extLst>
        </xdr:cNvPr>
        <xdr:cNvSpPr txBox="1"/>
      </xdr:nvSpPr>
      <xdr:spPr>
        <a:xfrm>
          <a:off x="7019925" y="4914900"/>
          <a:ext cx="168592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Implantar</a:t>
          </a:r>
          <a:r>
            <a:rPr lang="es-419" sz="1100" baseline="0"/>
            <a:t> y garantizar una solución sostenible </a:t>
          </a:r>
          <a:r>
            <a:rPr lang="es-419" sz="1100" b="1" baseline="0"/>
            <a:t>CONTROL "X"</a:t>
          </a:r>
          <a:endParaRPr lang="es-419" sz="1100" b="1"/>
        </a:p>
      </xdr:txBody>
    </xdr:sp>
    <xdr:clientData/>
  </xdr:twoCellAnchor>
  <xdr:twoCellAnchor>
    <xdr:from>
      <xdr:col>5</xdr:col>
      <xdr:colOff>323850</xdr:colOff>
      <xdr:row>15</xdr:row>
      <xdr:rowOff>0</xdr:rowOff>
    </xdr:from>
    <xdr:to>
      <xdr:col>7</xdr:col>
      <xdr:colOff>485775</xdr:colOff>
      <xdr:row>18</xdr:row>
      <xdr:rowOff>47625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81796C8-51CA-4015-851D-678E01E8FC38}"/>
            </a:ext>
          </a:extLst>
        </xdr:cNvPr>
        <xdr:cNvSpPr txBox="1"/>
      </xdr:nvSpPr>
      <xdr:spPr>
        <a:xfrm>
          <a:off x="8772525" y="4191000"/>
          <a:ext cx="168592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 baseline="0"/>
            <a:t>MEJORA DE PROCESOS EXISTENTES</a:t>
          </a:r>
          <a:endParaRPr lang="es-419" sz="1100" b="1"/>
        </a:p>
      </xdr:txBody>
    </xdr:sp>
    <xdr:clientData/>
  </xdr:twoCellAnchor>
  <xdr:twoCellAnchor>
    <xdr:from>
      <xdr:col>1</xdr:col>
      <xdr:colOff>9525</xdr:colOff>
      <xdr:row>25</xdr:row>
      <xdr:rowOff>104776</xdr:rowOff>
    </xdr:from>
    <xdr:to>
      <xdr:col>2</xdr:col>
      <xdr:colOff>1571625</xdr:colOff>
      <xdr:row>28</xdr:row>
      <xdr:rowOff>9526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2084E883-76AF-4CFD-B0EB-19EDBD15EC85}"/>
            </a:ext>
          </a:extLst>
        </xdr:cNvPr>
        <xdr:cNvSpPr/>
      </xdr:nvSpPr>
      <xdr:spPr>
        <a:xfrm>
          <a:off x="352425" y="6200776"/>
          <a:ext cx="235267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PRODUCCION</a:t>
          </a:r>
          <a:endParaRPr lang="es-419" sz="1100" b="1"/>
        </a:p>
      </xdr:txBody>
    </xdr:sp>
    <xdr:clientData/>
  </xdr:twoCellAnchor>
  <xdr:twoCellAnchor>
    <xdr:from>
      <xdr:col>2</xdr:col>
      <xdr:colOff>1695450</xdr:colOff>
      <xdr:row>25</xdr:row>
      <xdr:rowOff>114301</xdr:rowOff>
    </xdr:from>
    <xdr:to>
      <xdr:col>3</xdr:col>
      <xdr:colOff>1333500</xdr:colOff>
      <xdr:row>28</xdr:row>
      <xdr:rowOff>19051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F184B8FD-2B38-4E52-8BBE-5ECE30004EC9}"/>
            </a:ext>
          </a:extLst>
        </xdr:cNvPr>
        <xdr:cNvSpPr/>
      </xdr:nvSpPr>
      <xdr:spPr>
        <a:xfrm>
          <a:off x="2828925" y="6210301"/>
          <a:ext cx="235267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ADMINISTRACION</a:t>
          </a:r>
          <a:endParaRPr lang="es-419" sz="1100" b="1"/>
        </a:p>
      </xdr:txBody>
    </xdr:sp>
    <xdr:clientData/>
  </xdr:twoCellAnchor>
  <xdr:twoCellAnchor>
    <xdr:from>
      <xdr:col>3</xdr:col>
      <xdr:colOff>1409700</xdr:colOff>
      <xdr:row>25</xdr:row>
      <xdr:rowOff>123826</xdr:rowOff>
    </xdr:from>
    <xdr:to>
      <xdr:col>3</xdr:col>
      <xdr:colOff>3762375</xdr:colOff>
      <xdr:row>28</xdr:row>
      <xdr:rowOff>28576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C296D075-C925-4179-8216-8DEF83C133E9}"/>
            </a:ext>
          </a:extLst>
        </xdr:cNvPr>
        <xdr:cNvSpPr/>
      </xdr:nvSpPr>
      <xdr:spPr>
        <a:xfrm>
          <a:off x="5257800" y="6219826"/>
          <a:ext cx="235267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COMERCIAL</a:t>
          </a:r>
          <a:endParaRPr lang="es-419" sz="1100" b="1"/>
        </a:p>
      </xdr:txBody>
    </xdr:sp>
    <xdr:clientData/>
  </xdr:twoCellAnchor>
  <xdr:twoCellAnchor>
    <xdr:from>
      <xdr:col>0</xdr:col>
      <xdr:colOff>342899</xdr:colOff>
      <xdr:row>28</xdr:row>
      <xdr:rowOff>76200</xdr:rowOff>
    </xdr:from>
    <xdr:to>
      <xdr:col>2</xdr:col>
      <xdr:colOff>1581150</xdr:colOff>
      <xdr:row>34</xdr:row>
      <xdr:rowOff>161925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CC2B7EF-4D6B-41E7-923D-0F7EE01203DA}"/>
            </a:ext>
          </a:extLst>
        </xdr:cNvPr>
        <xdr:cNvSpPr txBox="1"/>
      </xdr:nvSpPr>
      <xdr:spPr>
        <a:xfrm>
          <a:off x="342899" y="6743700"/>
          <a:ext cx="2371726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Ingeniería de Procesos</a:t>
          </a:r>
        </a:p>
        <a:p>
          <a:pPr algn="l"/>
          <a:r>
            <a:rPr lang="es-419" sz="1100" b="0"/>
            <a:t>Ingeniería</a:t>
          </a:r>
          <a:r>
            <a:rPr lang="es-419" sz="1100" b="0" baseline="0"/>
            <a:t> de Productos</a:t>
          </a:r>
        </a:p>
        <a:p>
          <a:pPr algn="l"/>
          <a:r>
            <a:rPr lang="es-419" sz="1100" b="0" baseline="0"/>
            <a:t>Laboratorios</a:t>
          </a:r>
        </a:p>
        <a:p>
          <a:pPr algn="l"/>
          <a:r>
            <a:rPr lang="es-419" sz="1100" b="0"/>
            <a:t>Calidad</a:t>
          </a:r>
        </a:p>
        <a:p>
          <a:pPr algn="l"/>
          <a:r>
            <a:rPr lang="es-419" sz="1100" b="0"/>
            <a:t>Logística</a:t>
          </a:r>
        </a:p>
        <a:p>
          <a:pPr algn="l"/>
          <a:r>
            <a:rPr lang="es-419" sz="1100" b="0"/>
            <a:t>Etc.</a:t>
          </a:r>
        </a:p>
      </xdr:txBody>
    </xdr:sp>
    <xdr:clientData/>
  </xdr:twoCellAnchor>
  <xdr:twoCellAnchor>
    <xdr:from>
      <xdr:col>2</xdr:col>
      <xdr:colOff>1695449</xdr:colOff>
      <xdr:row>28</xdr:row>
      <xdr:rowOff>66675</xdr:rowOff>
    </xdr:from>
    <xdr:to>
      <xdr:col>3</xdr:col>
      <xdr:colOff>1352550</xdr:colOff>
      <xdr:row>34</xdr:row>
      <xdr:rowOff>152400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6D2AA94A-0DFF-4DD2-8D9D-BDEB076A0187}"/>
            </a:ext>
          </a:extLst>
        </xdr:cNvPr>
        <xdr:cNvSpPr txBox="1"/>
      </xdr:nvSpPr>
      <xdr:spPr>
        <a:xfrm>
          <a:off x="2828924" y="6734175"/>
          <a:ext cx="2371726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Tecnología</a:t>
          </a:r>
          <a:r>
            <a:rPr lang="es-419" sz="1100" baseline="0"/>
            <a:t> de información</a:t>
          </a:r>
        </a:p>
        <a:p>
          <a:pPr algn="l"/>
          <a:r>
            <a:rPr lang="es-419" sz="1100" b="0" baseline="0"/>
            <a:t>Recursos Humanos</a:t>
          </a:r>
        </a:p>
        <a:p>
          <a:pPr algn="l"/>
          <a:r>
            <a:rPr lang="es-419" sz="1100" b="0" baseline="0"/>
            <a:t>Contraloría</a:t>
          </a:r>
        </a:p>
        <a:p>
          <a:pPr algn="l"/>
          <a:r>
            <a:rPr lang="es-419" sz="1100" b="0" baseline="0"/>
            <a:t>Etc.</a:t>
          </a:r>
          <a:endParaRPr lang="es-419" sz="1100" b="0"/>
        </a:p>
      </xdr:txBody>
    </xdr:sp>
    <xdr:clientData/>
  </xdr:twoCellAnchor>
  <xdr:twoCellAnchor>
    <xdr:from>
      <xdr:col>3</xdr:col>
      <xdr:colOff>1419224</xdr:colOff>
      <xdr:row>28</xdr:row>
      <xdr:rowOff>76200</xdr:rowOff>
    </xdr:from>
    <xdr:to>
      <xdr:col>3</xdr:col>
      <xdr:colOff>3790950</xdr:colOff>
      <xdr:row>34</xdr:row>
      <xdr:rowOff>161925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60BD3BB4-53D4-474A-B3B6-3EB29C4EAFBD}"/>
            </a:ext>
          </a:extLst>
        </xdr:cNvPr>
        <xdr:cNvSpPr txBox="1"/>
      </xdr:nvSpPr>
      <xdr:spPr>
        <a:xfrm>
          <a:off x="5267324" y="6743700"/>
          <a:ext cx="2371726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Ventas</a:t>
          </a:r>
        </a:p>
        <a:p>
          <a:pPr algn="l"/>
          <a:r>
            <a:rPr lang="es-419" sz="1100" b="0"/>
            <a:t>Markenting</a:t>
          </a:r>
        </a:p>
        <a:p>
          <a:pPr algn="l"/>
          <a:r>
            <a:rPr lang="es-419" sz="1100" b="0"/>
            <a:t>Posventa</a:t>
          </a:r>
        </a:p>
        <a:p>
          <a:pPr algn="l"/>
          <a:r>
            <a:rPr lang="es-419" sz="1100" b="0"/>
            <a:t>Etc.</a:t>
          </a:r>
        </a:p>
      </xdr:txBody>
    </xdr:sp>
    <xdr:clientData/>
  </xdr:twoCellAnchor>
  <xdr:twoCellAnchor>
    <xdr:from>
      <xdr:col>1</xdr:col>
      <xdr:colOff>133350</xdr:colOff>
      <xdr:row>39</xdr:row>
      <xdr:rowOff>66675</xdr:rowOff>
    </xdr:from>
    <xdr:to>
      <xdr:col>2</xdr:col>
      <xdr:colOff>1104900</xdr:colOff>
      <xdr:row>42</xdr:row>
      <xdr:rowOff>133350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B2663305-1976-45D3-8819-795251680543}"/>
            </a:ext>
          </a:extLst>
        </xdr:cNvPr>
        <xdr:cNvSpPr/>
      </xdr:nvSpPr>
      <xdr:spPr>
        <a:xfrm>
          <a:off x="476250" y="8829675"/>
          <a:ext cx="1762125" cy="638175"/>
        </a:xfrm>
        <a:prstGeom prst="roundRect">
          <a:avLst/>
        </a:prstGeom>
        <a:solidFill>
          <a:srgbClr val="00B050"/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/>
            <a:t>ENFOQUE</a:t>
          </a:r>
          <a:r>
            <a:rPr lang="es-419" sz="1400" b="1" baseline="0"/>
            <a:t> A SER ELEGIDO</a:t>
          </a:r>
          <a:endParaRPr lang="es-419" sz="1400" b="1"/>
        </a:p>
      </xdr:txBody>
    </xdr:sp>
    <xdr:clientData/>
  </xdr:twoCellAnchor>
  <xdr:twoCellAnchor>
    <xdr:from>
      <xdr:col>2</xdr:col>
      <xdr:colOff>1885950</xdr:colOff>
      <xdr:row>39</xdr:row>
      <xdr:rowOff>28575</xdr:rowOff>
    </xdr:from>
    <xdr:to>
      <xdr:col>3</xdr:col>
      <xdr:colOff>180975</xdr:colOff>
      <xdr:row>42</xdr:row>
      <xdr:rowOff>180975</xdr:rowOff>
    </xdr:to>
    <xdr:sp macro="" textlink="">
      <xdr:nvSpPr>
        <xdr:cNvPr id="21" name="Rombo 20">
          <a:extLst>
            <a:ext uri="{FF2B5EF4-FFF2-40B4-BE49-F238E27FC236}">
              <a16:creationId xmlns:a16="http://schemas.microsoft.com/office/drawing/2014/main" id="{54BA77E2-05F2-48C1-849A-98E3B91F09BB}"/>
            </a:ext>
          </a:extLst>
        </xdr:cNvPr>
        <xdr:cNvSpPr/>
      </xdr:nvSpPr>
      <xdr:spPr>
        <a:xfrm>
          <a:off x="3019425" y="8791575"/>
          <a:ext cx="1009650" cy="723900"/>
        </a:xfrm>
        <a:prstGeom prst="diamond">
          <a:avLst/>
        </a:prstGeom>
        <a:solidFill>
          <a:srgbClr val="FFFF00"/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923925</xdr:colOff>
      <xdr:row>38</xdr:row>
      <xdr:rowOff>0</xdr:rowOff>
    </xdr:from>
    <xdr:to>
      <xdr:col>3</xdr:col>
      <xdr:colOff>2828925</xdr:colOff>
      <xdr:row>44</xdr:row>
      <xdr:rowOff>9526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27F1F2AC-F4AA-47C5-B32B-15EF69774E75}"/>
            </a:ext>
          </a:extLst>
        </xdr:cNvPr>
        <xdr:cNvSpPr/>
      </xdr:nvSpPr>
      <xdr:spPr>
        <a:xfrm>
          <a:off x="4772025" y="8572500"/>
          <a:ext cx="1905000" cy="1152526"/>
        </a:xfrm>
        <a:prstGeom prst="roundRect">
          <a:avLst/>
        </a:prstGeom>
        <a:solidFill>
          <a:srgbClr val="7030A0"/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/>
            <a:t>D.I.D.O.V</a:t>
          </a:r>
        </a:p>
        <a:p>
          <a:pPr algn="ctr"/>
          <a:r>
            <a:rPr lang="es-419" sz="1400" b="1"/>
            <a:t>Definir,</a:t>
          </a:r>
          <a:r>
            <a:rPr lang="es-419" sz="1400" b="1" baseline="0"/>
            <a:t> Identificar, Diseñar, Optimizar y Verificar</a:t>
          </a:r>
          <a:endParaRPr lang="es-419" sz="1400" b="1"/>
        </a:p>
      </xdr:txBody>
    </xdr:sp>
    <xdr:clientData/>
  </xdr:twoCellAnchor>
  <xdr:twoCellAnchor>
    <xdr:from>
      <xdr:col>3</xdr:col>
      <xdr:colOff>933450</xdr:colOff>
      <xdr:row>44</xdr:row>
      <xdr:rowOff>180974</xdr:rowOff>
    </xdr:from>
    <xdr:to>
      <xdr:col>3</xdr:col>
      <xdr:colOff>2838450</xdr:colOff>
      <xdr:row>50</xdr:row>
      <xdr:rowOff>190499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D309F429-C56D-40C8-ABBB-D26B2A965340}"/>
            </a:ext>
          </a:extLst>
        </xdr:cNvPr>
        <xdr:cNvSpPr/>
      </xdr:nvSpPr>
      <xdr:spPr>
        <a:xfrm>
          <a:off x="4781550" y="9896474"/>
          <a:ext cx="1905000" cy="1152525"/>
        </a:xfrm>
        <a:prstGeom prst="roundRect">
          <a:avLst/>
        </a:prstGeom>
        <a:solidFill>
          <a:schemeClr val="accent1"/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/>
            <a:t>D.M.A.I.C</a:t>
          </a:r>
        </a:p>
        <a:p>
          <a:pPr algn="ctr"/>
          <a:r>
            <a:rPr lang="es-419" sz="1400" b="1"/>
            <a:t>Definir,</a:t>
          </a:r>
          <a:r>
            <a:rPr lang="es-419" sz="1400" b="1" baseline="0"/>
            <a:t> Medir, Analizar, Mejorar y Controlar</a:t>
          </a:r>
          <a:endParaRPr lang="es-419" sz="1400" b="1"/>
        </a:p>
      </xdr:txBody>
    </xdr:sp>
    <xdr:clientData/>
  </xdr:twoCellAnchor>
  <xdr:twoCellAnchor>
    <xdr:from>
      <xdr:col>3</xdr:col>
      <xdr:colOff>933450</xdr:colOff>
      <xdr:row>51</xdr:row>
      <xdr:rowOff>171449</xdr:rowOff>
    </xdr:from>
    <xdr:to>
      <xdr:col>3</xdr:col>
      <xdr:colOff>2838450</xdr:colOff>
      <xdr:row>57</xdr:row>
      <xdr:rowOff>180974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5DD27D81-396B-4D62-B136-85245E2B4E25}"/>
            </a:ext>
          </a:extLst>
        </xdr:cNvPr>
        <xdr:cNvSpPr/>
      </xdr:nvSpPr>
      <xdr:spPr>
        <a:xfrm>
          <a:off x="4781550" y="11220449"/>
          <a:ext cx="1905000" cy="115252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ysClr val="windowText" lastClr="000000"/>
              </a:solidFill>
            </a:rPr>
            <a:t>D.M.A.D.V</a:t>
          </a:r>
        </a:p>
        <a:p>
          <a:pPr algn="ctr"/>
          <a:r>
            <a:rPr lang="es-419" sz="1400" b="1">
              <a:solidFill>
                <a:sysClr val="windowText" lastClr="000000"/>
              </a:solidFill>
            </a:rPr>
            <a:t>Definir,</a:t>
          </a:r>
          <a:r>
            <a:rPr lang="es-419" sz="1400" b="1" baseline="0">
              <a:solidFill>
                <a:sysClr val="windowText" lastClr="000000"/>
              </a:solidFill>
            </a:rPr>
            <a:t> Medir, Analizar, Diseñar y Verificar</a:t>
          </a:r>
          <a:endParaRPr lang="es-419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1104900</xdr:colOff>
      <xdr:row>41</xdr:row>
      <xdr:rowOff>4763</xdr:rowOff>
    </xdr:from>
    <xdr:to>
      <xdr:col>2</xdr:col>
      <xdr:colOff>1885950</xdr:colOff>
      <xdr:row>41</xdr:row>
      <xdr:rowOff>9525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AB7BE9A1-DDCB-40DA-A720-2A00C13A3625}"/>
            </a:ext>
          </a:extLst>
        </xdr:cNvPr>
        <xdr:cNvCxnSpPr>
          <a:stCxn id="20" idx="3"/>
          <a:endCxn id="21" idx="1"/>
        </xdr:cNvCxnSpPr>
      </xdr:nvCxnSpPr>
      <xdr:spPr>
        <a:xfrm>
          <a:off x="2238375" y="9148763"/>
          <a:ext cx="781050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40</xdr:row>
      <xdr:rowOff>185738</xdr:rowOff>
    </xdr:from>
    <xdr:to>
      <xdr:col>3</xdr:col>
      <xdr:colOff>952500</xdr:colOff>
      <xdr:row>41</xdr:row>
      <xdr:rowOff>0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C8F25B8-69B3-4C7D-9D0E-D90ED4BA324A}"/>
            </a:ext>
          </a:extLst>
        </xdr:cNvPr>
        <xdr:cNvCxnSpPr/>
      </xdr:nvCxnSpPr>
      <xdr:spPr>
        <a:xfrm>
          <a:off x="4019550" y="9139238"/>
          <a:ext cx="781050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1914525</xdr:colOff>
      <xdr:row>38</xdr:row>
      <xdr:rowOff>161925</xdr:rowOff>
    </xdr:from>
    <xdr:ext cx="1028700" cy="718402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222067DB-D5A3-44C9-B271-3E8D7B1A62B3}"/>
            </a:ext>
          </a:extLst>
        </xdr:cNvPr>
        <xdr:cNvSpPr txBox="1"/>
      </xdr:nvSpPr>
      <xdr:spPr>
        <a:xfrm>
          <a:off x="3048000" y="9115425"/>
          <a:ext cx="1028700" cy="718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419" sz="1000"/>
            <a:t>Es un nuevo Producto, Servicio o Proceso?</a:t>
          </a:r>
        </a:p>
      </xdr:txBody>
    </xdr:sp>
    <xdr:clientData/>
  </xdr:oneCellAnchor>
  <xdr:oneCellAnchor>
    <xdr:from>
      <xdr:col>3</xdr:col>
      <xdr:colOff>323850</xdr:colOff>
      <xdr:row>39</xdr:row>
      <xdr:rowOff>123849</xdr:rowOff>
    </xdr:from>
    <xdr:ext cx="400050" cy="280205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6CF1C182-FC26-4FD3-BA9A-F998BCC8A0D9}"/>
            </a:ext>
          </a:extLst>
        </xdr:cNvPr>
        <xdr:cNvSpPr txBox="1"/>
      </xdr:nvSpPr>
      <xdr:spPr>
        <a:xfrm>
          <a:off x="4171950" y="8886849"/>
          <a:ext cx="40005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419" sz="1200" b="1"/>
            <a:t>SI</a:t>
          </a:r>
        </a:p>
      </xdr:txBody>
    </xdr:sp>
    <xdr:clientData/>
  </xdr:oneCellAnchor>
  <xdr:twoCellAnchor>
    <xdr:from>
      <xdr:col>2</xdr:col>
      <xdr:colOff>1885950</xdr:colOff>
      <xdr:row>45</xdr:row>
      <xdr:rowOff>123825</xdr:rowOff>
    </xdr:from>
    <xdr:to>
      <xdr:col>3</xdr:col>
      <xdr:colOff>180975</xdr:colOff>
      <xdr:row>49</xdr:row>
      <xdr:rowOff>85725</xdr:rowOff>
    </xdr:to>
    <xdr:sp macro="" textlink="">
      <xdr:nvSpPr>
        <xdr:cNvPr id="33" name="Rombo 32">
          <a:extLst>
            <a:ext uri="{FF2B5EF4-FFF2-40B4-BE49-F238E27FC236}">
              <a16:creationId xmlns:a16="http://schemas.microsoft.com/office/drawing/2014/main" id="{FB2E2ACD-C0CE-4B5E-BA99-FABA09A15533}"/>
            </a:ext>
          </a:extLst>
        </xdr:cNvPr>
        <xdr:cNvSpPr/>
      </xdr:nvSpPr>
      <xdr:spPr>
        <a:xfrm>
          <a:off x="3019425" y="10029825"/>
          <a:ext cx="1009650" cy="723900"/>
        </a:xfrm>
        <a:prstGeom prst="diamond">
          <a:avLst/>
        </a:prstGeom>
        <a:solidFill>
          <a:srgbClr val="FFFF00"/>
        </a:solidFill>
        <a:ln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2</xdr:col>
      <xdr:colOff>2390775</xdr:colOff>
      <xdr:row>42</xdr:row>
      <xdr:rowOff>180975</xdr:rowOff>
    </xdr:from>
    <xdr:to>
      <xdr:col>2</xdr:col>
      <xdr:colOff>2390775</xdr:colOff>
      <xdr:row>45</xdr:row>
      <xdr:rowOff>123825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F5C343CD-EA4B-465C-91B7-AE418AF090F9}"/>
            </a:ext>
          </a:extLst>
        </xdr:cNvPr>
        <xdr:cNvCxnSpPr>
          <a:stCxn id="21" idx="2"/>
          <a:endCxn id="33" idx="0"/>
        </xdr:cNvCxnSpPr>
      </xdr:nvCxnSpPr>
      <xdr:spPr>
        <a:xfrm>
          <a:off x="3524250" y="9515475"/>
          <a:ext cx="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2343150</xdr:colOff>
      <xdr:row>43</xdr:row>
      <xdr:rowOff>133374</xdr:rowOff>
    </xdr:from>
    <xdr:ext cx="400050" cy="280205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E4E8EAF8-41C4-4A88-A5AA-F9F527287B3E}"/>
            </a:ext>
          </a:extLst>
        </xdr:cNvPr>
        <xdr:cNvSpPr txBox="1"/>
      </xdr:nvSpPr>
      <xdr:spPr>
        <a:xfrm>
          <a:off x="3476625" y="9658374"/>
          <a:ext cx="40005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419" sz="1200" b="1"/>
            <a:t>NO</a:t>
          </a:r>
        </a:p>
      </xdr:txBody>
    </xdr:sp>
    <xdr:clientData/>
  </xdr:oneCellAnchor>
  <xdr:oneCellAnchor>
    <xdr:from>
      <xdr:col>2</xdr:col>
      <xdr:colOff>1857375</xdr:colOff>
      <xdr:row>45</xdr:row>
      <xdr:rowOff>104775</xdr:rowOff>
    </xdr:from>
    <xdr:ext cx="1085850" cy="718402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7A89BCBC-C741-4505-8A7B-8E628E378C05}"/>
            </a:ext>
          </a:extLst>
        </xdr:cNvPr>
        <xdr:cNvSpPr txBox="1"/>
      </xdr:nvSpPr>
      <xdr:spPr>
        <a:xfrm>
          <a:off x="2990850" y="10391775"/>
          <a:ext cx="1085850" cy="718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419" sz="1000"/>
            <a:t>Es la</a:t>
          </a:r>
          <a:r>
            <a:rPr lang="es-419" sz="1000" baseline="0"/>
            <a:t> mejora de un</a:t>
          </a:r>
          <a:r>
            <a:rPr lang="es-419" sz="1000"/>
            <a:t> Producto, Servicio o Proceso?</a:t>
          </a:r>
        </a:p>
      </xdr:txBody>
    </xdr:sp>
    <xdr:clientData/>
  </xdr:oneCellAnchor>
  <xdr:twoCellAnchor>
    <xdr:from>
      <xdr:col>3</xdr:col>
      <xdr:colOff>180975</xdr:colOff>
      <xdr:row>47</xdr:row>
      <xdr:rowOff>109538</xdr:rowOff>
    </xdr:from>
    <xdr:to>
      <xdr:col>3</xdr:col>
      <xdr:colOff>962025</xdr:colOff>
      <xdr:row>47</xdr:row>
      <xdr:rowOff>114300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65BAD2A4-5972-4773-82BE-7C8A489CBC46}"/>
            </a:ext>
          </a:extLst>
        </xdr:cNvPr>
        <xdr:cNvCxnSpPr/>
      </xdr:nvCxnSpPr>
      <xdr:spPr>
        <a:xfrm>
          <a:off x="4029075" y="10396538"/>
          <a:ext cx="781050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123825</xdr:colOff>
      <xdr:row>46</xdr:row>
      <xdr:rowOff>66699</xdr:rowOff>
    </xdr:from>
    <xdr:ext cx="819150" cy="280205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ACD3529A-902C-47F5-9DA9-CBF529088E0D}"/>
            </a:ext>
          </a:extLst>
        </xdr:cNvPr>
        <xdr:cNvSpPr txBox="1"/>
      </xdr:nvSpPr>
      <xdr:spPr>
        <a:xfrm>
          <a:off x="3971925" y="10163199"/>
          <a:ext cx="81915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419" sz="1200" b="1"/>
            <a:t>PROCESO</a:t>
          </a:r>
        </a:p>
      </xdr:txBody>
    </xdr:sp>
    <xdr:clientData/>
  </xdr:oneCellAnchor>
  <xdr:twoCellAnchor>
    <xdr:from>
      <xdr:col>2</xdr:col>
      <xdr:colOff>2400300</xdr:colOff>
      <xdr:row>49</xdr:row>
      <xdr:rowOff>76200</xdr:rowOff>
    </xdr:from>
    <xdr:to>
      <xdr:col>2</xdr:col>
      <xdr:colOff>2419350</xdr:colOff>
      <xdr:row>55</xdr:row>
      <xdr:rowOff>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7DC3B203-078A-4B70-8707-BD7E652B41C7}"/>
            </a:ext>
          </a:extLst>
        </xdr:cNvPr>
        <xdr:cNvCxnSpPr/>
      </xdr:nvCxnSpPr>
      <xdr:spPr>
        <a:xfrm>
          <a:off x="3533775" y="10744200"/>
          <a:ext cx="19050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2409825</xdr:colOff>
      <xdr:row>54</xdr:row>
      <xdr:rowOff>161925</xdr:rowOff>
    </xdr:from>
    <xdr:to>
      <xdr:col>3</xdr:col>
      <xdr:colOff>923925</xdr:colOff>
      <xdr:row>54</xdr:row>
      <xdr:rowOff>171450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B7482718-D3EE-46BA-9DE7-64D1FAB248AE}"/>
            </a:ext>
          </a:extLst>
        </xdr:cNvPr>
        <xdr:cNvCxnSpPr/>
      </xdr:nvCxnSpPr>
      <xdr:spPr>
        <a:xfrm flipV="1">
          <a:off x="3543300" y="11782425"/>
          <a:ext cx="12287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2419349</xdr:colOff>
      <xdr:row>53</xdr:row>
      <xdr:rowOff>114324</xdr:rowOff>
    </xdr:from>
    <xdr:ext cx="1019175" cy="280205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A0C93B3E-DD53-473B-870E-407F2D33AC56}"/>
            </a:ext>
          </a:extLst>
        </xdr:cNvPr>
        <xdr:cNvSpPr txBox="1"/>
      </xdr:nvSpPr>
      <xdr:spPr>
        <a:xfrm>
          <a:off x="3552824" y="11544324"/>
          <a:ext cx="101917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419" sz="1200" b="1"/>
            <a:t>PRODUCTO</a:t>
          </a:r>
        </a:p>
      </xdr:txBody>
    </xdr:sp>
    <xdr:clientData/>
  </xdr:oneCellAnchor>
  <xdr:twoCellAnchor>
    <xdr:from>
      <xdr:col>0</xdr:col>
      <xdr:colOff>333375</xdr:colOff>
      <xdr:row>10</xdr:row>
      <xdr:rowOff>76200</xdr:rowOff>
    </xdr:from>
    <xdr:to>
      <xdr:col>2</xdr:col>
      <xdr:colOff>714375</xdr:colOff>
      <xdr:row>14</xdr:row>
      <xdr:rowOff>9525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C6242B03-25B4-4326-8767-51DD08926C35}"/>
            </a:ext>
          </a:extLst>
        </xdr:cNvPr>
        <xdr:cNvSpPr txBox="1"/>
      </xdr:nvSpPr>
      <xdr:spPr>
        <a:xfrm>
          <a:off x="333375" y="3695700"/>
          <a:ext cx="1514475" cy="6953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 baseline="0"/>
            <a:t>Definimos los problemas y objetivos</a:t>
          </a:r>
          <a:endParaRPr lang="es-419" sz="1100" b="1"/>
        </a:p>
      </xdr:txBody>
    </xdr:sp>
    <xdr:clientData/>
  </xdr:twoCellAnchor>
  <xdr:twoCellAnchor>
    <xdr:from>
      <xdr:col>2</xdr:col>
      <xdr:colOff>847725</xdr:colOff>
      <xdr:row>10</xdr:row>
      <xdr:rowOff>104776</xdr:rowOff>
    </xdr:from>
    <xdr:to>
      <xdr:col>2</xdr:col>
      <xdr:colOff>2362200</xdr:colOff>
      <xdr:row>14</xdr:row>
      <xdr:rowOff>9526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4224C729-B8B2-4AF9-BAD4-6F1E39D76043}"/>
            </a:ext>
          </a:extLst>
        </xdr:cNvPr>
        <xdr:cNvSpPr txBox="1"/>
      </xdr:nvSpPr>
      <xdr:spPr>
        <a:xfrm>
          <a:off x="1981200" y="3724276"/>
          <a:ext cx="15144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 baseline="0"/>
            <a:t>Qué necesito mejorar? Podemos medirlo?</a:t>
          </a:r>
          <a:endParaRPr lang="es-419" sz="1100" b="1"/>
        </a:p>
      </xdr:txBody>
    </xdr:sp>
    <xdr:clientData/>
  </xdr:twoCellAnchor>
  <xdr:twoCellAnchor>
    <xdr:from>
      <xdr:col>2</xdr:col>
      <xdr:colOff>2533650</xdr:colOff>
      <xdr:row>10</xdr:row>
      <xdr:rowOff>133350</xdr:rowOff>
    </xdr:from>
    <xdr:to>
      <xdr:col>3</xdr:col>
      <xdr:colOff>1333500</xdr:colOff>
      <xdr:row>14</xdr:row>
      <xdr:rowOff>38101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6CE0D960-FA0B-465F-A153-ECBF6E20387E}"/>
            </a:ext>
          </a:extLst>
        </xdr:cNvPr>
        <xdr:cNvSpPr txBox="1"/>
      </xdr:nvSpPr>
      <xdr:spPr>
        <a:xfrm>
          <a:off x="3667125" y="3752850"/>
          <a:ext cx="1514475" cy="666751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 baseline="0"/>
            <a:t>Analizamos el proceso. definimos los factores de influencia</a:t>
          </a:r>
          <a:endParaRPr lang="es-419" sz="1100" b="1"/>
        </a:p>
      </xdr:txBody>
    </xdr:sp>
    <xdr:clientData/>
  </xdr:twoCellAnchor>
  <xdr:twoCellAnchor>
    <xdr:from>
      <xdr:col>3</xdr:col>
      <xdr:colOff>1495425</xdr:colOff>
      <xdr:row>10</xdr:row>
      <xdr:rowOff>142875</xdr:rowOff>
    </xdr:from>
    <xdr:to>
      <xdr:col>3</xdr:col>
      <xdr:colOff>3009900</xdr:colOff>
      <xdr:row>14</xdr:row>
      <xdr:rowOff>47626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DEAD8504-26F9-4343-B0C6-722441105852}"/>
            </a:ext>
          </a:extLst>
        </xdr:cNvPr>
        <xdr:cNvSpPr txBox="1"/>
      </xdr:nvSpPr>
      <xdr:spPr>
        <a:xfrm>
          <a:off x="5343525" y="3762375"/>
          <a:ext cx="1514475" cy="666751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 baseline="0"/>
            <a:t>Identificamos e implantar las mejoras</a:t>
          </a:r>
          <a:endParaRPr lang="es-419" sz="1100" b="1"/>
        </a:p>
      </xdr:txBody>
    </xdr:sp>
    <xdr:clientData/>
  </xdr:twoCellAnchor>
  <xdr:twoCellAnchor>
    <xdr:from>
      <xdr:col>3</xdr:col>
      <xdr:colOff>3162300</xdr:colOff>
      <xdr:row>10</xdr:row>
      <xdr:rowOff>152400</xdr:rowOff>
    </xdr:from>
    <xdr:to>
      <xdr:col>5</xdr:col>
      <xdr:colOff>76200</xdr:colOff>
      <xdr:row>14</xdr:row>
      <xdr:rowOff>57151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3E528B53-3961-46F9-8BD9-D1681866C889}"/>
            </a:ext>
          </a:extLst>
        </xdr:cNvPr>
        <xdr:cNvSpPr txBox="1"/>
      </xdr:nvSpPr>
      <xdr:spPr>
        <a:xfrm>
          <a:off x="7010400" y="3771900"/>
          <a:ext cx="1514475" cy="666751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 baseline="0"/>
            <a:t>Asegurarse de que las mejoras perduren</a:t>
          </a:r>
          <a:endParaRPr lang="es-419" sz="1100" b="1"/>
        </a:p>
      </xdr:txBody>
    </xdr:sp>
    <xdr:clientData/>
  </xdr:twoCellAnchor>
  <xdr:twoCellAnchor>
    <xdr:from>
      <xdr:col>3</xdr:col>
      <xdr:colOff>3057525</xdr:colOff>
      <xdr:row>46</xdr:row>
      <xdr:rowOff>95250</xdr:rowOff>
    </xdr:from>
    <xdr:to>
      <xdr:col>3</xdr:col>
      <xdr:colOff>3648075</xdr:colOff>
      <xdr:row>49</xdr:row>
      <xdr:rowOff>9525</xdr:rowOff>
    </xdr:to>
    <xdr:sp macro="" textlink="">
      <xdr:nvSpPr>
        <xdr:cNvPr id="25" name="Flecha: a la derecha 24">
          <a:extLst>
            <a:ext uri="{FF2B5EF4-FFF2-40B4-BE49-F238E27FC236}">
              <a16:creationId xmlns:a16="http://schemas.microsoft.com/office/drawing/2014/main" id="{634F23D2-C1F8-4296-87E4-3B959367D6D2}"/>
            </a:ext>
          </a:extLst>
        </xdr:cNvPr>
        <xdr:cNvSpPr/>
      </xdr:nvSpPr>
      <xdr:spPr>
        <a:xfrm flipH="1">
          <a:off x="6905625" y="10572750"/>
          <a:ext cx="590550" cy="4857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3819525</xdr:colOff>
      <xdr:row>25</xdr:row>
      <xdr:rowOff>133351</xdr:rowOff>
    </xdr:from>
    <xdr:to>
      <xdr:col>7</xdr:col>
      <xdr:colOff>47625</xdr:colOff>
      <xdr:row>28</xdr:row>
      <xdr:rowOff>38101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15D7E0D4-E7F4-4C2B-A301-6EF155FED31C}"/>
            </a:ext>
          </a:extLst>
        </xdr:cNvPr>
        <xdr:cNvSpPr/>
      </xdr:nvSpPr>
      <xdr:spPr>
        <a:xfrm>
          <a:off x="7667625" y="6610351"/>
          <a:ext cx="2352675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800" b="1"/>
            <a:t>SERVICIOS</a:t>
          </a:r>
          <a:endParaRPr lang="es-419" sz="1100" b="1"/>
        </a:p>
      </xdr:txBody>
    </xdr:sp>
    <xdr:clientData/>
  </xdr:twoCellAnchor>
  <xdr:twoCellAnchor>
    <xdr:from>
      <xdr:col>3</xdr:col>
      <xdr:colOff>3829049</xdr:colOff>
      <xdr:row>28</xdr:row>
      <xdr:rowOff>85725</xdr:rowOff>
    </xdr:from>
    <xdr:to>
      <xdr:col>7</xdr:col>
      <xdr:colOff>76200</xdr:colOff>
      <xdr:row>34</xdr:row>
      <xdr:rowOff>171450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C8543FC5-318A-4107-93C3-8F2B0DF23C6B}"/>
            </a:ext>
          </a:extLst>
        </xdr:cNvPr>
        <xdr:cNvSpPr txBox="1"/>
      </xdr:nvSpPr>
      <xdr:spPr>
        <a:xfrm>
          <a:off x="7677149" y="7134225"/>
          <a:ext cx="2371726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419" sz="1100"/>
            <a:t>Proceso</a:t>
          </a:r>
          <a:r>
            <a:rPr lang="es-419" sz="1100" baseline="0"/>
            <a:t> de atención</a:t>
          </a:r>
          <a:endParaRPr lang="es-419" sz="1100"/>
        </a:p>
        <a:p>
          <a:pPr algn="l"/>
          <a:r>
            <a:rPr lang="es-419" sz="1100"/>
            <a:t>Ventas</a:t>
          </a:r>
        </a:p>
        <a:p>
          <a:pPr algn="l"/>
          <a:r>
            <a:rPr lang="es-419" sz="1100" b="0"/>
            <a:t>Markenting</a:t>
          </a:r>
        </a:p>
        <a:p>
          <a:pPr algn="l"/>
          <a:r>
            <a:rPr lang="es-419" sz="1100" b="0"/>
            <a:t>Posventa</a:t>
          </a:r>
        </a:p>
        <a:p>
          <a:pPr algn="l"/>
          <a:r>
            <a:rPr lang="es-419" sz="1100" b="0"/>
            <a:t>Etc.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57590</xdr:colOff>
      <xdr:row>0</xdr:row>
      <xdr:rowOff>38100</xdr:rowOff>
    </xdr:from>
    <xdr:ext cx="6979859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C80A2F1-D36F-4EAD-BDD8-6B4196CC2696}"/>
            </a:ext>
          </a:extLst>
        </xdr:cNvPr>
        <xdr:cNvSpPr/>
      </xdr:nvSpPr>
      <xdr:spPr>
        <a:xfrm>
          <a:off x="57590" y="38100"/>
          <a:ext cx="6979859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HERRAMIENTAS</a:t>
          </a:r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SIX SIGMA: DMAIC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515238</xdr:colOff>
      <xdr:row>0</xdr:row>
      <xdr:rowOff>0</xdr:rowOff>
    </xdr:from>
    <xdr:ext cx="5949386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6B93B00-DC23-45CA-8D99-968E2BB84862}"/>
            </a:ext>
          </a:extLst>
        </xdr:cNvPr>
        <xdr:cNvSpPr/>
      </xdr:nvSpPr>
      <xdr:spPr>
        <a:xfrm>
          <a:off x="515238" y="0"/>
          <a:ext cx="5949386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PROYECTO SIX SIGMA: DMAIC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 editAs="oneCell">
    <xdr:from>
      <xdr:col>1</xdr:col>
      <xdr:colOff>671926</xdr:colOff>
      <xdr:row>2</xdr:row>
      <xdr:rowOff>142875</xdr:rowOff>
    </xdr:from>
    <xdr:to>
      <xdr:col>2</xdr:col>
      <xdr:colOff>2277616</xdr:colOff>
      <xdr:row>6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5C07A9-1767-4CD4-A7E3-04EDE2220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926" y="523875"/>
          <a:ext cx="3434490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10</xdr:row>
      <xdr:rowOff>127271</xdr:rowOff>
    </xdr:from>
    <xdr:to>
      <xdr:col>11</xdr:col>
      <xdr:colOff>66674</xdr:colOff>
      <xdr:row>17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86C61EE-5651-4629-97E3-0373FC41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4" y="2032271"/>
          <a:ext cx="4162425" cy="3044554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8</xdr:row>
      <xdr:rowOff>66675</xdr:rowOff>
    </xdr:from>
    <xdr:to>
      <xdr:col>9</xdr:col>
      <xdr:colOff>304800</xdr:colOff>
      <xdr:row>10</xdr:row>
      <xdr:rowOff>47625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A8B2394-94B4-42C3-90F5-78440A3AC331}"/>
            </a:ext>
          </a:extLst>
        </xdr:cNvPr>
        <xdr:cNvSpPr txBox="1"/>
      </xdr:nvSpPr>
      <xdr:spPr>
        <a:xfrm>
          <a:off x="12296775" y="1590675"/>
          <a:ext cx="1447800" cy="3619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bg2">
              <a:lumMod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1100" b="1"/>
            <a:t>MODELO KANO</a:t>
          </a:r>
        </a:p>
      </xdr:txBody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11</xdr:col>
      <xdr:colOff>190000</xdr:colOff>
      <xdr:row>21</xdr:row>
      <xdr:rowOff>609214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426FDDF-762C-48AD-A8E2-5C20D409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53775" y="5524500"/>
          <a:ext cx="4000000" cy="30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11410</xdr:colOff>
      <xdr:row>0</xdr:row>
      <xdr:rowOff>47625</xdr:rowOff>
    </xdr:from>
    <xdr:ext cx="9336530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F5945A6-1D80-4B29-8469-F4177D428D28}"/>
            </a:ext>
          </a:extLst>
        </xdr:cNvPr>
        <xdr:cNvSpPr/>
      </xdr:nvSpPr>
      <xdr:spPr>
        <a:xfrm>
          <a:off x="11410" y="47625"/>
          <a:ext cx="9336530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FLUJO DE LA METODOLOGIA SIX SIGMA: DMAIC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>
    <xdr:from>
      <xdr:col>1</xdr:col>
      <xdr:colOff>752476</xdr:colOff>
      <xdr:row>4</xdr:row>
      <xdr:rowOff>76200</xdr:rowOff>
    </xdr:from>
    <xdr:to>
      <xdr:col>3</xdr:col>
      <xdr:colOff>752476</xdr:colOff>
      <xdr:row>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895484E-9AEA-4BC3-B6E2-C6071C65B5C8}"/>
            </a:ext>
          </a:extLst>
        </xdr:cNvPr>
        <xdr:cNvSpPr/>
      </xdr:nvSpPr>
      <xdr:spPr>
        <a:xfrm>
          <a:off x="1514476" y="838200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Definir el problema</a:t>
          </a:r>
          <a:endParaRPr lang="es-419" sz="900" b="1"/>
        </a:p>
      </xdr:txBody>
    </xdr:sp>
    <xdr:clientData/>
  </xdr:twoCellAnchor>
  <xdr:twoCellAnchor>
    <xdr:from>
      <xdr:col>1</xdr:col>
      <xdr:colOff>752476</xdr:colOff>
      <xdr:row>8</xdr:row>
      <xdr:rowOff>142875</xdr:rowOff>
    </xdr:from>
    <xdr:to>
      <xdr:col>3</xdr:col>
      <xdr:colOff>752476</xdr:colOff>
      <xdr:row>11</xdr:row>
      <xdr:rowOff>47625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BCA2D7-DD66-4302-B93A-4E9980D8B00A}"/>
            </a:ext>
          </a:extLst>
        </xdr:cNvPr>
        <xdr:cNvSpPr/>
      </xdr:nvSpPr>
      <xdr:spPr>
        <a:xfrm>
          <a:off x="1514476" y="1666875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Describir el</a:t>
          </a:r>
          <a:r>
            <a:rPr lang="es-419" sz="1200" b="1" baseline="0"/>
            <a:t> proceso</a:t>
          </a:r>
          <a:endParaRPr lang="es-419" sz="900" b="1"/>
        </a:p>
      </xdr:txBody>
    </xdr:sp>
    <xdr:clientData/>
  </xdr:twoCellAnchor>
  <xdr:twoCellAnchor>
    <xdr:from>
      <xdr:col>1</xdr:col>
      <xdr:colOff>733425</xdr:colOff>
      <xdr:row>12</xdr:row>
      <xdr:rowOff>171448</xdr:rowOff>
    </xdr:from>
    <xdr:to>
      <xdr:col>4</xdr:col>
      <xdr:colOff>9524</xdr:colOff>
      <xdr:row>20</xdr:row>
      <xdr:rowOff>104775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B44191E0-8D92-4BF6-8AF7-B9BDAE3278DE}"/>
            </a:ext>
          </a:extLst>
        </xdr:cNvPr>
        <xdr:cNvSpPr/>
      </xdr:nvSpPr>
      <xdr:spPr>
        <a:xfrm>
          <a:off x="1495425" y="2457448"/>
          <a:ext cx="1562099" cy="1457327"/>
        </a:xfrm>
        <a:prstGeom prst="diamond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</a:rPr>
            <a:t>Medición</a:t>
          </a:r>
          <a:r>
            <a:rPr lang="es-419" sz="1200" b="1" baseline="0">
              <a:solidFill>
                <a:srgbClr val="FF0000"/>
              </a:solidFill>
            </a:rPr>
            <a:t> Capaz y estable</a:t>
          </a:r>
          <a:endParaRPr lang="es-419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528111</xdr:colOff>
      <xdr:row>15</xdr:row>
      <xdr:rowOff>70910</xdr:rowOff>
    </xdr:from>
    <xdr:to>
      <xdr:col>6</xdr:col>
      <xdr:colOff>528111</xdr:colOff>
      <xdr:row>17</xdr:row>
      <xdr:rowOff>166160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AAA1397-BEBA-42EC-9C11-B6605E8E9304}"/>
            </a:ext>
          </a:extLst>
        </xdr:cNvPr>
        <xdr:cNvSpPr/>
      </xdr:nvSpPr>
      <xdr:spPr>
        <a:xfrm>
          <a:off x="3576111" y="2928410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Mejorar</a:t>
          </a:r>
          <a:endParaRPr lang="es-419" sz="900" b="1"/>
        </a:p>
      </xdr:txBody>
    </xdr:sp>
    <xdr:clientData/>
  </xdr:twoCellAnchor>
  <xdr:twoCellAnchor>
    <xdr:from>
      <xdr:col>1</xdr:col>
      <xdr:colOff>756709</xdr:colOff>
      <xdr:row>21</xdr:row>
      <xdr:rowOff>157689</xdr:rowOff>
    </xdr:from>
    <xdr:to>
      <xdr:col>3</xdr:col>
      <xdr:colOff>756709</xdr:colOff>
      <xdr:row>24</xdr:row>
      <xdr:rowOff>62439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1CA1319-81CC-4C76-81D0-803E6A5D919E}"/>
            </a:ext>
          </a:extLst>
        </xdr:cNvPr>
        <xdr:cNvSpPr/>
      </xdr:nvSpPr>
      <xdr:spPr>
        <a:xfrm>
          <a:off x="1518709" y="4158189"/>
          <a:ext cx="1524000" cy="4762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</a:rPr>
            <a:t>Determinar variables significativas</a:t>
          </a:r>
          <a:endParaRPr lang="es-419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9525</xdr:colOff>
      <xdr:row>26</xdr:row>
      <xdr:rowOff>24333</xdr:rowOff>
    </xdr:from>
    <xdr:to>
      <xdr:col>4</xdr:col>
      <xdr:colOff>9525</xdr:colOff>
      <xdr:row>29</xdr:row>
      <xdr:rowOff>169326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58544A0-06E5-4683-BC53-2AE6DF53C0E2}"/>
            </a:ext>
          </a:extLst>
        </xdr:cNvPr>
        <xdr:cNvSpPr/>
      </xdr:nvSpPr>
      <xdr:spPr>
        <a:xfrm>
          <a:off x="1533525" y="4977333"/>
          <a:ext cx="1524000" cy="716493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</a:rPr>
            <a:t>Evaluar estabilidad y capacidad del proceso</a:t>
          </a:r>
          <a:endParaRPr lang="es-419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716491</xdr:colOff>
      <xdr:row>31</xdr:row>
      <xdr:rowOff>133339</xdr:rowOff>
    </xdr:from>
    <xdr:to>
      <xdr:col>3</xdr:col>
      <xdr:colOff>754590</xdr:colOff>
      <xdr:row>36</xdr:row>
      <xdr:rowOff>169324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DD354CD7-0EF0-4EEB-A2DE-388DB155532A}"/>
            </a:ext>
          </a:extLst>
        </xdr:cNvPr>
        <xdr:cNvSpPr/>
      </xdr:nvSpPr>
      <xdr:spPr>
        <a:xfrm>
          <a:off x="1478491" y="6038839"/>
          <a:ext cx="1562099" cy="988485"/>
        </a:xfrm>
        <a:prstGeom prst="diamond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rgbClr val="FF0000"/>
              </a:solidFill>
            </a:rPr>
            <a:t>Proceso Estable</a:t>
          </a:r>
        </a:p>
      </xdr:txBody>
    </xdr:sp>
    <xdr:clientData/>
  </xdr:twoCellAnchor>
  <xdr:twoCellAnchor>
    <xdr:from>
      <xdr:col>4</xdr:col>
      <xdr:colOff>553511</xdr:colOff>
      <xdr:row>32</xdr:row>
      <xdr:rowOff>170392</xdr:rowOff>
    </xdr:from>
    <xdr:to>
      <xdr:col>6</xdr:col>
      <xdr:colOff>553511</xdr:colOff>
      <xdr:row>35</xdr:row>
      <xdr:rowOff>75142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319CF9-E3CC-4BE5-8E1F-2665CB623AC9}"/>
            </a:ext>
          </a:extLst>
        </xdr:cNvPr>
        <xdr:cNvSpPr/>
      </xdr:nvSpPr>
      <xdr:spPr>
        <a:xfrm>
          <a:off x="3601511" y="6266392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Eliminar causas expeciales</a:t>
          </a:r>
          <a:endParaRPr lang="es-419" sz="900" b="1"/>
        </a:p>
      </xdr:txBody>
    </xdr:sp>
    <xdr:clientData/>
  </xdr:twoCellAnchor>
  <xdr:twoCellAnchor>
    <xdr:from>
      <xdr:col>7</xdr:col>
      <xdr:colOff>568325</xdr:colOff>
      <xdr:row>7</xdr:row>
      <xdr:rowOff>154516</xdr:rowOff>
    </xdr:from>
    <xdr:to>
      <xdr:col>9</xdr:col>
      <xdr:colOff>606424</xdr:colOff>
      <xdr:row>13</xdr:row>
      <xdr:rowOff>84667</xdr:rowOff>
    </xdr:to>
    <xdr:sp macro="" textlink="">
      <xdr:nvSpPr>
        <xdr:cNvPr id="11" name="Rombo 10">
          <a:extLst>
            <a:ext uri="{FF2B5EF4-FFF2-40B4-BE49-F238E27FC236}">
              <a16:creationId xmlns:a16="http://schemas.microsoft.com/office/drawing/2014/main" id="{A3FC8BDC-6248-4758-AD5E-42D3A9D36DCD}"/>
            </a:ext>
          </a:extLst>
        </xdr:cNvPr>
        <xdr:cNvSpPr/>
      </xdr:nvSpPr>
      <xdr:spPr>
        <a:xfrm>
          <a:off x="5902325" y="1488016"/>
          <a:ext cx="1562099" cy="1073151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Proceso capaz</a:t>
          </a:r>
        </a:p>
      </xdr:txBody>
    </xdr:sp>
    <xdr:clientData/>
  </xdr:twoCellAnchor>
  <xdr:twoCellAnchor>
    <xdr:from>
      <xdr:col>7</xdr:col>
      <xdr:colOff>638176</xdr:colOff>
      <xdr:row>15</xdr:row>
      <xdr:rowOff>75148</xdr:rowOff>
    </xdr:from>
    <xdr:to>
      <xdr:col>9</xdr:col>
      <xdr:colOff>638176</xdr:colOff>
      <xdr:row>17</xdr:row>
      <xdr:rowOff>170398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A444947-4412-4C23-8A77-F5395F8946E8}"/>
            </a:ext>
          </a:extLst>
        </xdr:cNvPr>
        <xdr:cNvSpPr/>
      </xdr:nvSpPr>
      <xdr:spPr>
        <a:xfrm>
          <a:off x="5972176" y="2932648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Optimizar</a:t>
          </a:r>
          <a:endParaRPr lang="es-419" sz="900" b="1"/>
        </a:p>
      </xdr:txBody>
    </xdr:sp>
    <xdr:clientData/>
  </xdr:twoCellAnchor>
  <xdr:twoCellAnchor>
    <xdr:from>
      <xdr:col>7</xdr:col>
      <xdr:colOff>652990</xdr:colOff>
      <xdr:row>20</xdr:row>
      <xdr:rowOff>100548</xdr:rowOff>
    </xdr:from>
    <xdr:to>
      <xdr:col>9</xdr:col>
      <xdr:colOff>652990</xdr:colOff>
      <xdr:row>23</xdr:row>
      <xdr:rowOff>5298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39DC6C06-E90B-4C52-9CAF-14B8A0E84644}"/>
            </a:ext>
          </a:extLst>
        </xdr:cNvPr>
        <xdr:cNvSpPr/>
      </xdr:nvSpPr>
      <xdr:spPr>
        <a:xfrm>
          <a:off x="5986990" y="3910548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Validar la mejora</a:t>
          </a:r>
          <a:endParaRPr lang="es-419" sz="900" b="1"/>
        </a:p>
      </xdr:txBody>
    </xdr:sp>
    <xdr:clientData/>
  </xdr:twoCellAnchor>
  <xdr:twoCellAnchor>
    <xdr:from>
      <xdr:col>7</xdr:col>
      <xdr:colOff>646645</xdr:colOff>
      <xdr:row>25</xdr:row>
      <xdr:rowOff>20110</xdr:rowOff>
    </xdr:from>
    <xdr:to>
      <xdr:col>9</xdr:col>
      <xdr:colOff>646645</xdr:colOff>
      <xdr:row>27</xdr:row>
      <xdr:rowOff>115360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016BE88-BC7B-4848-AC16-CB57CE5EA261}"/>
            </a:ext>
          </a:extLst>
        </xdr:cNvPr>
        <xdr:cNvSpPr/>
      </xdr:nvSpPr>
      <xdr:spPr>
        <a:xfrm>
          <a:off x="5980645" y="4782610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Controlar el proceso</a:t>
          </a:r>
          <a:endParaRPr lang="es-419" sz="900" b="1"/>
        </a:p>
      </xdr:txBody>
    </xdr:sp>
    <xdr:clientData/>
  </xdr:twoCellAnchor>
  <xdr:twoCellAnchor>
    <xdr:from>
      <xdr:col>7</xdr:col>
      <xdr:colOff>650880</xdr:colOff>
      <xdr:row>29</xdr:row>
      <xdr:rowOff>130178</xdr:rowOff>
    </xdr:from>
    <xdr:to>
      <xdr:col>9</xdr:col>
      <xdr:colOff>650880</xdr:colOff>
      <xdr:row>32</xdr:row>
      <xdr:rowOff>34928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1384F6B9-3011-47CD-89A4-6CA30684D3EC}"/>
            </a:ext>
          </a:extLst>
        </xdr:cNvPr>
        <xdr:cNvSpPr/>
      </xdr:nvSpPr>
      <xdr:spPr>
        <a:xfrm>
          <a:off x="5984880" y="5654678"/>
          <a:ext cx="152400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/>
            <a:t>Mejorar continuamente</a:t>
          </a:r>
          <a:endParaRPr lang="es-419" sz="900" b="1"/>
        </a:p>
      </xdr:txBody>
    </xdr:sp>
    <xdr:clientData/>
  </xdr:twoCellAnchor>
  <xdr:twoCellAnchor>
    <xdr:from>
      <xdr:col>1</xdr:col>
      <xdr:colOff>349271</xdr:colOff>
      <xdr:row>4</xdr:row>
      <xdr:rowOff>127003</xdr:rowOff>
    </xdr:from>
    <xdr:to>
      <xdr:col>1</xdr:col>
      <xdr:colOff>656188</xdr:colOff>
      <xdr:row>6</xdr:row>
      <xdr:rowOff>137586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336F4E7-86AF-436B-93E5-94B2A241CB31}"/>
            </a:ext>
          </a:extLst>
        </xdr:cNvPr>
        <xdr:cNvSpPr txBox="1"/>
      </xdr:nvSpPr>
      <xdr:spPr>
        <a:xfrm>
          <a:off x="1111271" y="889003"/>
          <a:ext cx="306917" cy="391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1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321754</xdr:colOff>
      <xdr:row>8</xdr:row>
      <xdr:rowOff>141820</xdr:rowOff>
    </xdr:from>
    <xdr:to>
      <xdr:col>1</xdr:col>
      <xdr:colOff>628671</xdr:colOff>
      <xdr:row>10</xdr:row>
      <xdr:rowOff>152403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6E5848B-A2BF-4D9F-A3F5-46C68D941DFF}"/>
            </a:ext>
          </a:extLst>
        </xdr:cNvPr>
        <xdr:cNvSpPr txBox="1"/>
      </xdr:nvSpPr>
      <xdr:spPr>
        <a:xfrm>
          <a:off x="1083754" y="1665820"/>
          <a:ext cx="306917" cy="391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2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347154</xdr:colOff>
      <xdr:row>15</xdr:row>
      <xdr:rowOff>103720</xdr:rowOff>
    </xdr:from>
    <xdr:to>
      <xdr:col>1</xdr:col>
      <xdr:colOff>654071</xdr:colOff>
      <xdr:row>17</xdr:row>
      <xdr:rowOff>114303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A7F692B6-2DE0-4937-B28C-B1195D173755}"/>
            </a:ext>
          </a:extLst>
        </xdr:cNvPr>
        <xdr:cNvSpPr txBox="1"/>
      </xdr:nvSpPr>
      <xdr:spPr>
        <a:xfrm>
          <a:off x="1109154" y="2961220"/>
          <a:ext cx="306917" cy="391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3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319638</xdr:colOff>
      <xdr:row>21</xdr:row>
      <xdr:rowOff>86786</xdr:rowOff>
    </xdr:from>
    <xdr:to>
      <xdr:col>1</xdr:col>
      <xdr:colOff>626555</xdr:colOff>
      <xdr:row>23</xdr:row>
      <xdr:rowOff>97369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E78DBEA-76A8-4244-829D-CD1782BB39A0}"/>
            </a:ext>
          </a:extLst>
        </xdr:cNvPr>
        <xdr:cNvSpPr txBox="1"/>
      </xdr:nvSpPr>
      <xdr:spPr>
        <a:xfrm>
          <a:off x="1081638" y="4087286"/>
          <a:ext cx="306917" cy="391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4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355621</xdr:colOff>
      <xdr:row>26</xdr:row>
      <xdr:rowOff>133352</xdr:rowOff>
    </xdr:from>
    <xdr:to>
      <xdr:col>1</xdr:col>
      <xdr:colOff>662538</xdr:colOff>
      <xdr:row>28</xdr:row>
      <xdr:rowOff>143935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AD20E5A2-2F98-445C-A7D8-A52C8E10E789}"/>
            </a:ext>
          </a:extLst>
        </xdr:cNvPr>
        <xdr:cNvSpPr txBox="1"/>
      </xdr:nvSpPr>
      <xdr:spPr>
        <a:xfrm>
          <a:off x="1117621" y="5086352"/>
          <a:ext cx="306917" cy="391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5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301655</xdr:colOff>
      <xdr:row>15</xdr:row>
      <xdr:rowOff>95252</xdr:rowOff>
    </xdr:from>
    <xdr:to>
      <xdr:col>7</xdr:col>
      <xdr:colOff>608572</xdr:colOff>
      <xdr:row>17</xdr:row>
      <xdr:rowOff>105835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2B2C34D2-58AA-4D6F-8E4F-06801689BE08}"/>
            </a:ext>
          </a:extLst>
        </xdr:cNvPr>
        <xdr:cNvSpPr txBox="1"/>
      </xdr:nvSpPr>
      <xdr:spPr>
        <a:xfrm>
          <a:off x="5635655" y="2952752"/>
          <a:ext cx="306917" cy="391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6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337640</xdr:colOff>
      <xdr:row>20</xdr:row>
      <xdr:rowOff>99485</xdr:rowOff>
    </xdr:from>
    <xdr:to>
      <xdr:col>7</xdr:col>
      <xdr:colOff>576802</xdr:colOff>
      <xdr:row>22</xdr:row>
      <xdr:rowOff>148166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7516AB0-0B08-4618-9327-715319C31952}"/>
            </a:ext>
          </a:extLst>
        </xdr:cNvPr>
        <xdr:cNvSpPr txBox="1"/>
      </xdr:nvSpPr>
      <xdr:spPr>
        <a:xfrm>
          <a:off x="5671640" y="3909485"/>
          <a:ext cx="239162" cy="429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7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341873</xdr:colOff>
      <xdr:row>25</xdr:row>
      <xdr:rowOff>29635</xdr:rowOff>
    </xdr:from>
    <xdr:to>
      <xdr:col>7</xdr:col>
      <xdr:colOff>581035</xdr:colOff>
      <xdr:row>27</xdr:row>
      <xdr:rowOff>78316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745F264-2D5D-48AB-B394-42353ADD465F}"/>
            </a:ext>
          </a:extLst>
        </xdr:cNvPr>
        <xdr:cNvSpPr txBox="1"/>
      </xdr:nvSpPr>
      <xdr:spPr>
        <a:xfrm>
          <a:off x="5675873" y="4792135"/>
          <a:ext cx="239162" cy="429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8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346107</xdr:colOff>
      <xdr:row>29</xdr:row>
      <xdr:rowOff>139702</xdr:rowOff>
    </xdr:from>
    <xdr:to>
      <xdr:col>7</xdr:col>
      <xdr:colOff>585269</xdr:colOff>
      <xdr:row>31</xdr:row>
      <xdr:rowOff>188383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9F874A2-86CD-44A5-A140-B92A743A09CB}"/>
            </a:ext>
          </a:extLst>
        </xdr:cNvPr>
        <xdr:cNvSpPr txBox="1"/>
      </xdr:nvSpPr>
      <xdr:spPr>
        <a:xfrm>
          <a:off x="5680107" y="5664202"/>
          <a:ext cx="239162" cy="429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419" sz="2400" b="1">
              <a:solidFill>
                <a:srgbClr val="FF0000"/>
              </a:solidFill>
            </a:rPr>
            <a:t>9</a:t>
          </a:r>
          <a:endParaRPr lang="es-419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603248</xdr:colOff>
      <xdr:row>7</xdr:row>
      <xdr:rowOff>63500</xdr:rowOff>
    </xdr:from>
    <xdr:to>
      <xdr:col>3</xdr:col>
      <xdr:colOff>95248</xdr:colOff>
      <xdr:row>8</xdr:row>
      <xdr:rowOff>105834</xdr:rowOff>
    </xdr:to>
    <xdr:sp macro="" textlink="">
      <xdr:nvSpPr>
        <xdr:cNvPr id="25" name="Flecha: hacia abajo 24">
          <a:extLst>
            <a:ext uri="{FF2B5EF4-FFF2-40B4-BE49-F238E27FC236}">
              <a16:creationId xmlns:a16="http://schemas.microsoft.com/office/drawing/2014/main" id="{574F14E1-22E4-47FF-AAB3-1B4F35A17191}"/>
            </a:ext>
          </a:extLst>
        </xdr:cNvPr>
        <xdr:cNvSpPr/>
      </xdr:nvSpPr>
      <xdr:spPr>
        <a:xfrm>
          <a:off x="2127248" y="1397000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2</xdr:col>
      <xdr:colOff>618067</xdr:colOff>
      <xdr:row>11</xdr:row>
      <xdr:rowOff>110071</xdr:rowOff>
    </xdr:from>
    <xdr:to>
      <xdr:col>3</xdr:col>
      <xdr:colOff>110067</xdr:colOff>
      <xdr:row>12</xdr:row>
      <xdr:rowOff>152405</xdr:rowOff>
    </xdr:to>
    <xdr:sp macro="" textlink="">
      <xdr:nvSpPr>
        <xdr:cNvPr id="26" name="Flecha: hacia abajo 25">
          <a:extLst>
            <a:ext uri="{FF2B5EF4-FFF2-40B4-BE49-F238E27FC236}">
              <a16:creationId xmlns:a16="http://schemas.microsoft.com/office/drawing/2014/main" id="{B317C7E0-01D5-40A5-B7C2-23152D162514}"/>
            </a:ext>
          </a:extLst>
        </xdr:cNvPr>
        <xdr:cNvSpPr/>
      </xdr:nvSpPr>
      <xdr:spPr>
        <a:xfrm>
          <a:off x="2142067" y="2205571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2</xdr:col>
      <xdr:colOff>611722</xdr:colOff>
      <xdr:row>20</xdr:row>
      <xdr:rowOff>93137</xdr:rowOff>
    </xdr:from>
    <xdr:to>
      <xdr:col>3</xdr:col>
      <xdr:colOff>103722</xdr:colOff>
      <xdr:row>21</xdr:row>
      <xdr:rowOff>135471</xdr:rowOff>
    </xdr:to>
    <xdr:sp macro="" textlink="">
      <xdr:nvSpPr>
        <xdr:cNvPr id="27" name="Flecha: hacia abajo 26">
          <a:extLst>
            <a:ext uri="{FF2B5EF4-FFF2-40B4-BE49-F238E27FC236}">
              <a16:creationId xmlns:a16="http://schemas.microsoft.com/office/drawing/2014/main" id="{4A4F9B7A-EF90-42A0-87CD-159A1213BEF0}"/>
            </a:ext>
          </a:extLst>
        </xdr:cNvPr>
        <xdr:cNvSpPr/>
      </xdr:nvSpPr>
      <xdr:spPr>
        <a:xfrm>
          <a:off x="2135722" y="3903137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2</xdr:col>
      <xdr:colOff>605377</xdr:colOff>
      <xdr:row>24</xdr:row>
      <xdr:rowOff>139691</xdr:rowOff>
    </xdr:from>
    <xdr:to>
      <xdr:col>3</xdr:col>
      <xdr:colOff>97377</xdr:colOff>
      <xdr:row>25</xdr:row>
      <xdr:rowOff>182025</xdr:rowOff>
    </xdr:to>
    <xdr:sp macro="" textlink="">
      <xdr:nvSpPr>
        <xdr:cNvPr id="28" name="Flecha: hacia abajo 27">
          <a:extLst>
            <a:ext uri="{FF2B5EF4-FFF2-40B4-BE49-F238E27FC236}">
              <a16:creationId xmlns:a16="http://schemas.microsoft.com/office/drawing/2014/main" id="{6973CD00-A94F-401D-85E4-7E4C6EEAC2F8}"/>
            </a:ext>
          </a:extLst>
        </xdr:cNvPr>
        <xdr:cNvSpPr/>
      </xdr:nvSpPr>
      <xdr:spPr>
        <a:xfrm>
          <a:off x="2129377" y="4711691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2</xdr:col>
      <xdr:colOff>609613</xdr:colOff>
      <xdr:row>30</xdr:row>
      <xdr:rowOff>38088</xdr:rowOff>
    </xdr:from>
    <xdr:to>
      <xdr:col>3</xdr:col>
      <xdr:colOff>101613</xdr:colOff>
      <xdr:row>31</xdr:row>
      <xdr:rowOff>80422</xdr:rowOff>
    </xdr:to>
    <xdr:sp macro="" textlink="">
      <xdr:nvSpPr>
        <xdr:cNvPr id="29" name="Flecha: hacia abajo 28">
          <a:extLst>
            <a:ext uri="{FF2B5EF4-FFF2-40B4-BE49-F238E27FC236}">
              <a16:creationId xmlns:a16="http://schemas.microsoft.com/office/drawing/2014/main" id="{206DB813-BEB2-4E89-A60A-495B9B1022C3}"/>
            </a:ext>
          </a:extLst>
        </xdr:cNvPr>
        <xdr:cNvSpPr/>
      </xdr:nvSpPr>
      <xdr:spPr>
        <a:xfrm>
          <a:off x="2133613" y="5753088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201096</xdr:colOff>
      <xdr:row>33</xdr:row>
      <xdr:rowOff>116404</xdr:rowOff>
    </xdr:from>
    <xdr:to>
      <xdr:col>4</xdr:col>
      <xdr:colOff>433930</xdr:colOff>
      <xdr:row>34</xdr:row>
      <xdr:rowOff>179904</xdr:rowOff>
    </xdr:to>
    <xdr:sp macro="" textlink="">
      <xdr:nvSpPr>
        <xdr:cNvPr id="30" name="Flecha: hacia abajo 29">
          <a:extLst>
            <a:ext uri="{FF2B5EF4-FFF2-40B4-BE49-F238E27FC236}">
              <a16:creationId xmlns:a16="http://schemas.microsoft.com/office/drawing/2014/main" id="{5B86A20F-CBB0-48CD-BAF6-B73BB3F5D896}"/>
            </a:ext>
          </a:extLst>
        </xdr:cNvPr>
        <xdr:cNvSpPr/>
      </xdr:nvSpPr>
      <xdr:spPr>
        <a:xfrm rot="16200000">
          <a:off x="3238513" y="6413487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oneCellAnchor>
    <xdr:from>
      <xdr:col>9</xdr:col>
      <xdr:colOff>571500</xdr:colOff>
      <xdr:row>8</xdr:row>
      <xdr:rowOff>182564</xdr:rowOff>
    </xdr:from>
    <xdr:ext cx="317331" cy="31149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4759B32A-7145-44B0-A42D-2E656E766B79}"/>
            </a:ext>
          </a:extLst>
        </xdr:cNvPr>
        <xdr:cNvSpPr txBox="1"/>
      </xdr:nvSpPr>
      <xdr:spPr>
        <a:xfrm>
          <a:off x="7429500" y="1706564"/>
          <a:ext cx="3173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400" b="1"/>
            <a:t>SI</a:t>
          </a:r>
          <a:endParaRPr lang="es-419" sz="1100" b="1"/>
        </a:p>
      </xdr:txBody>
    </xdr:sp>
    <xdr:clientData/>
  </xdr:oneCellAnchor>
  <xdr:oneCellAnchor>
    <xdr:from>
      <xdr:col>8</xdr:col>
      <xdr:colOff>35984</xdr:colOff>
      <xdr:row>13</xdr:row>
      <xdr:rowOff>78316</xdr:rowOff>
    </xdr:from>
    <xdr:ext cx="424347" cy="311496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DF848FC8-1FA9-46F9-9ADE-60123807109D}"/>
            </a:ext>
          </a:extLst>
        </xdr:cNvPr>
        <xdr:cNvSpPr txBox="1"/>
      </xdr:nvSpPr>
      <xdr:spPr>
        <a:xfrm>
          <a:off x="6131984" y="2554816"/>
          <a:ext cx="42434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400" b="1"/>
            <a:t>NO</a:t>
          </a:r>
          <a:endParaRPr lang="es-419" sz="1100" b="1"/>
        </a:p>
      </xdr:txBody>
    </xdr:sp>
    <xdr:clientData/>
  </xdr:oneCellAnchor>
  <xdr:twoCellAnchor>
    <xdr:from>
      <xdr:col>4</xdr:col>
      <xdr:colOff>152412</xdr:colOff>
      <xdr:row>15</xdr:row>
      <xdr:rowOff>184138</xdr:rowOff>
    </xdr:from>
    <xdr:to>
      <xdr:col>4</xdr:col>
      <xdr:colOff>385246</xdr:colOff>
      <xdr:row>17</xdr:row>
      <xdr:rowOff>57138</xdr:rowOff>
    </xdr:to>
    <xdr:sp macro="" textlink="">
      <xdr:nvSpPr>
        <xdr:cNvPr id="33" name="Flecha: hacia abajo 32">
          <a:extLst>
            <a:ext uri="{FF2B5EF4-FFF2-40B4-BE49-F238E27FC236}">
              <a16:creationId xmlns:a16="http://schemas.microsoft.com/office/drawing/2014/main" id="{7ACA1631-793A-4E38-84DC-89B9EA26953C}"/>
            </a:ext>
          </a:extLst>
        </xdr:cNvPr>
        <xdr:cNvSpPr/>
      </xdr:nvSpPr>
      <xdr:spPr>
        <a:xfrm rot="16200000">
          <a:off x="3189829" y="3052221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oneCellAnchor>
    <xdr:from>
      <xdr:col>4</xdr:col>
      <xdr:colOff>93134</xdr:colOff>
      <xdr:row>32</xdr:row>
      <xdr:rowOff>29633</xdr:rowOff>
    </xdr:from>
    <xdr:ext cx="424347" cy="311496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7A507B35-B6B6-44FD-98C1-CC74DC78B352}"/>
            </a:ext>
          </a:extLst>
        </xdr:cNvPr>
        <xdr:cNvSpPr txBox="1"/>
      </xdr:nvSpPr>
      <xdr:spPr>
        <a:xfrm>
          <a:off x="3141134" y="6125633"/>
          <a:ext cx="42434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400" b="1"/>
            <a:t>NO</a:t>
          </a:r>
          <a:endParaRPr lang="es-419" sz="1100" b="1"/>
        </a:p>
      </xdr:txBody>
    </xdr:sp>
    <xdr:clientData/>
  </xdr:oneCellAnchor>
  <xdr:oneCellAnchor>
    <xdr:from>
      <xdr:col>2</xdr:col>
      <xdr:colOff>438151</xdr:colOff>
      <xdr:row>36</xdr:row>
      <xdr:rowOff>131233</xdr:rowOff>
    </xdr:from>
    <xdr:ext cx="317331" cy="311496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BB7CFE47-CF16-4B49-9790-74308481E118}"/>
            </a:ext>
          </a:extLst>
        </xdr:cNvPr>
        <xdr:cNvSpPr txBox="1"/>
      </xdr:nvSpPr>
      <xdr:spPr>
        <a:xfrm>
          <a:off x="1962151" y="6989233"/>
          <a:ext cx="3173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400" b="1"/>
            <a:t>SI</a:t>
          </a:r>
          <a:endParaRPr lang="es-419" sz="1100" b="1"/>
        </a:p>
      </xdr:txBody>
    </xdr:sp>
    <xdr:clientData/>
  </xdr:oneCellAnchor>
  <xdr:oneCellAnchor>
    <xdr:from>
      <xdr:col>3</xdr:col>
      <xdr:colOff>141817</xdr:colOff>
      <xdr:row>19</xdr:row>
      <xdr:rowOff>184149</xdr:rowOff>
    </xdr:from>
    <xdr:ext cx="317331" cy="311496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232CA81B-951D-40D5-9EFB-DAC559849AE7}"/>
            </a:ext>
          </a:extLst>
        </xdr:cNvPr>
        <xdr:cNvSpPr txBox="1"/>
      </xdr:nvSpPr>
      <xdr:spPr>
        <a:xfrm>
          <a:off x="2427817" y="3803649"/>
          <a:ext cx="3173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400" b="1"/>
            <a:t>SI</a:t>
          </a:r>
          <a:endParaRPr lang="es-419" sz="1100" b="1"/>
        </a:p>
      </xdr:txBody>
    </xdr:sp>
    <xdr:clientData/>
  </xdr:oneCellAnchor>
  <xdr:oneCellAnchor>
    <xdr:from>
      <xdr:col>4</xdr:col>
      <xdr:colOff>19050</xdr:colOff>
      <xdr:row>14</xdr:row>
      <xdr:rowOff>71965</xdr:rowOff>
    </xdr:from>
    <xdr:ext cx="424347" cy="311496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B53FE8ED-E60F-4B1E-A03A-135360891D35}"/>
            </a:ext>
          </a:extLst>
        </xdr:cNvPr>
        <xdr:cNvSpPr txBox="1"/>
      </xdr:nvSpPr>
      <xdr:spPr>
        <a:xfrm>
          <a:off x="3067050" y="2738965"/>
          <a:ext cx="42434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400" b="1"/>
            <a:t>NO</a:t>
          </a:r>
          <a:endParaRPr lang="es-419" sz="1100" b="1"/>
        </a:p>
      </xdr:txBody>
    </xdr:sp>
    <xdr:clientData/>
  </xdr:oneCellAnchor>
  <xdr:twoCellAnchor>
    <xdr:from>
      <xdr:col>8</xdr:col>
      <xdr:colOff>463551</xdr:colOff>
      <xdr:row>13</xdr:row>
      <xdr:rowOff>156638</xdr:rowOff>
    </xdr:from>
    <xdr:to>
      <xdr:col>8</xdr:col>
      <xdr:colOff>717551</xdr:colOff>
      <xdr:row>15</xdr:row>
      <xdr:rowOff>8472</xdr:rowOff>
    </xdr:to>
    <xdr:sp macro="" textlink="">
      <xdr:nvSpPr>
        <xdr:cNvPr id="38" name="Flecha: hacia abajo 37">
          <a:extLst>
            <a:ext uri="{FF2B5EF4-FFF2-40B4-BE49-F238E27FC236}">
              <a16:creationId xmlns:a16="http://schemas.microsoft.com/office/drawing/2014/main" id="{6860C821-7BCC-4FF7-A7E4-304CB4C141A2}"/>
            </a:ext>
          </a:extLst>
        </xdr:cNvPr>
        <xdr:cNvSpPr/>
      </xdr:nvSpPr>
      <xdr:spPr>
        <a:xfrm>
          <a:off x="6559551" y="2633138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8</xdr:col>
      <xdr:colOff>478367</xdr:colOff>
      <xdr:row>18</xdr:row>
      <xdr:rowOff>107955</xdr:rowOff>
    </xdr:from>
    <xdr:to>
      <xdr:col>8</xdr:col>
      <xdr:colOff>732367</xdr:colOff>
      <xdr:row>19</xdr:row>
      <xdr:rowOff>150289</xdr:rowOff>
    </xdr:to>
    <xdr:sp macro="" textlink="">
      <xdr:nvSpPr>
        <xdr:cNvPr id="39" name="Flecha: hacia abajo 38">
          <a:extLst>
            <a:ext uri="{FF2B5EF4-FFF2-40B4-BE49-F238E27FC236}">
              <a16:creationId xmlns:a16="http://schemas.microsoft.com/office/drawing/2014/main" id="{B0326C8F-79D8-41E5-A4AE-80F361DE0D4B}"/>
            </a:ext>
          </a:extLst>
        </xdr:cNvPr>
        <xdr:cNvSpPr/>
      </xdr:nvSpPr>
      <xdr:spPr>
        <a:xfrm>
          <a:off x="6574367" y="3536955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8</xdr:col>
      <xdr:colOff>514351</xdr:colOff>
      <xdr:row>23</xdr:row>
      <xdr:rowOff>91022</xdr:rowOff>
    </xdr:from>
    <xdr:to>
      <xdr:col>9</xdr:col>
      <xdr:colOff>6351</xdr:colOff>
      <xdr:row>24</xdr:row>
      <xdr:rowOff>133356</xdr:rowOff>
    </xdr:to>
    <xdr:sp macro="" textlink="">
      <xdr:nvSpPr>
        <xdr:cNvPr id="40" name="Flecha: hacia abajo 39">
          <a:extLst>
            <a:ext uri="{FF2B5EF4-FFF2-40B4-BE49-F238E27FC236}">
              <a16:creationId xmlns:a16="http://schemas.microsoft.com/office/drawing/2014/main" id="{5A287590-AFDC-45E9-A8B3-3A41C6F3BB52}"/>
            </a:ext>
          </a:extLst>
        </xdr:cNvPr>
        <xdr:cNvSpPr/>
      </xdr:nvSpPr>
      <xdr:spPr>
        <a:xfrm>
          <a:off x="6610351" y="4472522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8</xdr:col>
      <xdr:colOff>518584</xdr:colOff>
      <xdr:row>28</xdr:row>
      <xdr:rowOff>5</xdr:rowOff>
    </xdr:from>
    <xdr:to>
      <xdr:col>9</xdr:col>
      <xdr:colOff>10584</xdr:colOff>
      <xdr:row>29</xdr:row>
      <xdr:rowOff>42339</xdr:rowOff>
    </xdr:to>
    <xdr:sp macro="" textlink="">
      <xdr:nvSpPr>
        <xdr:cNvPr id="41" name="Flecha: hacia abajo 40">
          <a:extLst>
            <a:ext uri="{FF2B5EF4-FFF2-40B4-BE49-F238E27FC236}">
              <a16:creationId xmlns:a16="http://schemas.microsoft.com/office/drawing/2014/main" id="{225B2D7C-0AA6-4568-9BBE-402F641BA55F}"/>
            </a:ext>
          </a:extLst>
        </xdr:cNvPr>
        <xdr:cNvSpPr/>
      </xdr:nvSpPr>
      <xdr:spPr>
        <a:xfrm>
          <a:off x="6614584" y="5334005"/>
          <a:ext cx="254000" cy="232834"/>
        </a:xfrm>
        <a:prstGeom prst="downArrow">
          <a:avLst/>
        </a:prstGeom>
        <a:solidFill>
          <a:srgbClr val="C0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5</xdr:col>
      <xdr:colOff>523875</xdr:colOff>
      <xdr:row>12</xdr:row>
      <xdr:rowOff>23812</xdr:rowOff>
    </xdr:from>
    <xdr:to>
      <xdr:col>5</xdr:col>
      <xdr:colOff>528111</xdr:colOff>
      <xdr:row>15</xdr:row>
      <xdr:rowOff>70910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DD35EDCF-15C8-46E0-A06D-3A458D67BB8E}"/>
            </a:ext>
          </a:extLst>
        </xdr:cNvPr>
        <xdr:cNvCxnSpPr>
          <a:stCxn id="6" idx="0"/>
        </xdr:cNvCxnSpPr>
      </xdr:nvCxnSpPr>
      <xdr:spPr>
        <a:xfrm flipH="1" flipV="1">
          <a:off x="4333875" y="2309812"/>
          <a:ext cx="4236" cy="6185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110067</xdr:colOff>
      <xdr:row>12</xdr:row>
      <xdr:rowOff>11906</xdr:rowOff>
    </xdr:from>
    <xdr:to>
      <xdr:col>5</xdr:col>
      <xdr:colOff>535781</xdr:colOff>
      <xdr:row>12</xdr:row>
      <xdr:rowOff>35988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AE877DA1-934E-402D-9753-C8DF5C2B4604}"/>
            </a:ext>
          </a:extLst>
        </xdr:cNvPr>
        <xdr:cNvCxnSpPr>
          <a:endCxn id="26" idx="3"/>
        </xdr:cNvCxnSpPr>
      </xdr:nvCxnSpPr>
      <xdr:spPr>
        <a:xfrm flipH="1">
          <a:off x="2396067" y="2297906"/>
          <a:ext cx="1949714" cy="240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511968</xdr:colOff>
      <xdr:row>30</xdr:row>
      <xdr:rowOff>154781</xdr:rowOff>
    </xdr:from>
    <xdr:to>
      <xdr:col>5</xdr:col>
      <xdr:colOff>513823</xdr:colOff>
      <xdr:row>32</xdr:row>
      <xdr:rowOff>175685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210C6C92-B615-4850-A4E6-DB0CC09CBD48}"/>
            </a:ext>
          </a:extLst>
        </xdr:cNvPr>
        <xdr:cNvCxnSpPr/>
      </xdr:nvCxnSpPr>
      <xdr:spPr>
        <a:xfrm flipH="1" flipV="1">
          <a:off x="4321968" y="5869781"/>
          <a:ext cx="1855" cy="4019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107686</xdr:colOff>
      <xdr:row>30</xdr:row>
      <xdr:rowOff>128587</xdr:rowOff>
    </xdr:from>
    <xdr:to>
      <xdr:col>5</xdr:col>
      <xdr:colOff>533400</xdr:colOff>
      <xdr:row>30</xdr:row>
      <xdr:rowOff>152669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92CF257E-5037-4957-972C-692D8C68A24D}"/>
            </a:ext>
          </a:extLst>
        </xdr:cNvPr>
        <xdr:cNvCxnSpPr/>
      </xdr:nvCxnSpPr>
      <xdr:spPr>
        <a:xfrm flipH="1">
          <a:off x="2393686" y="5843587"/>
          <a:ext cx="1949714" cy="240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606424</xdr:colOff>
      <xdr:row>10</xdr:row>
      <xdr:rowOff>119062</xdr:rowOff>
    </xdr:from>
    <xdr:to>
      <xdr:col>10</xdr:col>
      <xdr:colOff>428625</xdr:colOff>
      <xdr:row>10</xdr:row>
      <xdr:rowOff>119592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25815616-0FE3-48F7-83A4-D5736EAE4590}"/>
            </a:ext>
          </a:extLst>
        </xdr:cNvPr>
        <xdr:cNvCxnSpPr>
          <a:stCxn id="11" idx="3"/>
        </xdr:cNvCxnSpPr>
      </xdr:nvCxnSpPr>
      <xdr:spPr>
        <a:xfrm flipV="1">
          <a:off x="7464424" y="2024062"/>
          <a:ext cx="584201" cy="5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604042</xdr:colOff>
      <xdr:row>26</xdr:row>
      <xdr:rowOff>69056</xdr:rowOff>
    </xdr:from>
    <xdr:to>
      <xdr:col>10</xdr:col>
      <xdr:colOff>426243</xdr:colOff>
      <xdr:row>26</xdr:row>
      <xdr:rowOff>69586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73E13FBE-4339-41A0-A9E1-22A4388B0F2B}"/>
            </a:ext>
          </a:extLst>
        </xdr:cNvPr>
        <xdr:cNvCxnSpPr/>
      </xdr:nvCxnSpPr>
      <xdr:spPr>
        <a:xfrm flipV="1">
          <a:off x="7462042" y="5022056"/>
          <a:ext cx="584201" cy="530"/>
        </a:xfrm>
        <a:prstGeom prst="line">
          <a:avLst/>
        </a:prstGeom>
        <a:ln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428625</xdr:colOff>
      <xdr:row>10</xdr:row>
      <xdr:rowOff>130969</xdr:rowOff>
    </xdr:from>
    <xdr:to>
      <xdr:col>10</xdr:col>
      <xdr:colOff>440531</xdr:colOff>
      <xdr:row>26</xdr:row>
      <xdr:rowOff>95250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CEA93E8B-D8A9-4DB8-A175-2B1CDFCF840D}"/>
            </a:ext>
          </a:extLst>
        </xdr:cNvPr>
        <xdr:cNvCxnSpPr/>
      </xdr:nvCxnSpPr>
      <xdr:spPr>
        <a:xfrm>
          <a:off x="8048625" y="2035969"/>
          <a:ext cx="11906" cy="3012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638974</xdr:colOff>
      <xdr:row>30</xdr:row>
      <xdr:rowOff>177805</xdr:rowOff>
    </xdr:from>
    <xdr:to>
      <xdr:col>11</xdr:col>
      <xdr:colOff>1</xdr:colOff>
      <xdr:row>30</xdr:row>
      <xdr:rowOff>178594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2A4247D1-B879-4E4A-AF31-37D98102E6BE}"/>
            </a:ext>
          </a:extLst>
        </xdr:cNvPr>
        <xdr:cNvCxnSpPr/>
      </xdr:nvCxnSpPr>
      <xdr:spPr>
        <a:xfrm>
          <a:off x="7496974" y="5892805"/>
          <a:ext cx="885027" cy="7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</xdr:colOff>
      <xdr:row>5</xdr:row>
      <xdr:rowOff>105044</xdr:rowOff>
    </xdr:from>
    <xdr:to>
      <xdr:col>10</xdr:col>
      <xdr:colOff>714375</xdr:colOff>
      <xdr:row>5</xdr:row>
      <xdr:rowOff>130969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D48AE7DB-B261-489F-9C76-183E3689A4F4}"/>
            </a:ext>
          </a:extLst>
        </xdr:cNvPr>
        <xdr:cNvCxnSpPr/>
      </xdr:nvCxnSpPr>
      <xdr:spPr>
        <a:xfrm flipH="1" flipV="1">
          <a:off x="3048530" y="1057544"/>
          <a:ext cx="5285845" cy="25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714375</xdr:colOff>
      <xdr:row>5</xdr:row>
      <xdr:rowOff>130969</xdr:rowOff>
    </xdr:from>
    <xdr:to>
      <xdr:col>10</xdr:col>
      <xdr:colOff>740042</xdr:colOff>
      <xdr:row>30</xdr:row>
      <xdr:rowOff>175685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CEC299EC-E367-4265-9B9B-30A70A44D974}"/>
            </a:ext>
          </a:extLst>
        </xdr:cNvPr>
        <xdr:cNvCxnSpPr/>
      </xdr:nvCxnSpPr>
      <xdr:spPr>
        <a:xfrm flipH="1" flipV="1">
          <a:off x="8334375" y="1083469"/>
          <a:ext cx="25667" cy="48072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711993</xdr:colOff>
      <xdr:row>36</xdr:row>
      <xdr:rowOff>116681</xdr:rowOff>
    </xdr:from>
    <xdr:to>
      <xdr:col>2</xdr:col>
      <xdr:colOff>713848</xdr:colOff>
      <xdr:row>38</xdr:row>
      <xdr:rowOff>137585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5CC0DDDA-A4FB-4270-B960-55CC4EB2260E}"/>
            </a:ext>
          </a:extLst>
        </xdr:cNvPr>
        <xdr:cNvCxnSpPr/>
      </xdr:nvCxnSpPr>
      <xdr:spPr>
        <a:xfrm flipH="1" flipV="1">
          <a:off x="2235993" y="6974681"/>
          <a:ext cx="1855" cy="4019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684217</xdr:colOff>
      <xdr:row>38</xdr:row>
      <xdr:rowOff>115893</xdr:rowOff>
    </xdr:from>
    <xdr:to>
      <xdr:col>6</xdr:col>
      <xdr:colOff>738187</xdr:colOff>
      <xdr:row>38</xdr:row>
      <xdr:rowOff>130969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CF7DDB9E-3A7D-4613-951A-4345B932F3B6}"/>
            </a:ext>
          </a:extLst>
        </xdr:cNvPr>
        <xdr:cNvCxnSpPr/>
      </xdr:nvCxnSpPr>
      <xdr:spPr>
        <a:xfrm>
          <a:off x="2208217" y="7354893"/>
          <a:ext cx="3101970" cy="150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666750</xdr:colOff>
      <xdr:row>6</xdr:row>
      <xdr:rowOff>130969</xdr:rowOff>
    </xdr:from>
    <xdr:to>
      <xdr:col>6</xdr:col>
      <xdr:colOff>701943</xdr:colOff>
      <xdr:row>38</xdr:row>
      <xdr:rowOff>161398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FBE4B65E-60DF-403B-9313-CE104F105593}"/>
            </a:ext>
          </a:extLst>
        </xdr:cNvPr>
        <xdr:cNvCxnSpPr/>
      </xdr:nvCxnSpPr>
      <xdr:spPr>
        <a:xfrm flipH="1" flipV="1">
          <a:off x="5238750" y="1273969"/>
          <a:ext cx="35193" cy="6126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663574</xdr:colOff>
      <xdr:row>6</xdr:row>
      <xdr:rowOff>141023</xdr:rowOff>
    </xdr:from>
    <xdr:to>
      <xdr:col>8</xdr:col>
      <xdr:colOff>607219</xdr:colOff>
      <xdr:row>6</xdr:row>
      <xdr:rowOff>142875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4F329144-BBAA-4E74-A777-124A046F7527}"/>
            </a:ext>
          </a:extLst>
        </xdr:cNvPr>
        <xdr:cNvCxnSpPr/>
      </xdr:nvCxnSpPr>
      <xdr:spPr>
        <a:xfrm>
          <a:off x="5235574" y="1284023"/>
          <a:ext cx="1467645" cy="18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607218</xdr:colOff>
      <xdr:row>6</xdr:row>
      <xdr:rowOff>142875</xdr:rowOff>
    </xdr:from>
    <xdr:to>
      <xdr:col>8</xdr:col>
      <xdr:colOff>607219</xdr:colOff>
      <xdr:row>8</xdr:row>
      <xdr:rowOff>11908</xdr:rowOff>
    </xdr:to>
    <xdr:cxnSp macro="">
      <xdr:nvCxnSpPr>
        <xdr:cNvPr id="96" name="Conector recto de flecha 95">
          <a:extLst>
            <a:ext uri="{FF2B5EF4-FFF2-40B4-BE49-F238E27FC236}">
              <a16:creationId xmlns:a16="http://schemas.microsoft.com/office/drawing/2014/main" id="{48BF0D6B-E2C1-4D10-A5F8-4BA96E2CA06C}"/>
            </a:ext>
          </a:extLst>
        </xdr:cNvPr>
        <xdr:cNvCxnSpPr/>
      </xdr:nvCxnSpPr>
      <xdr:spPr>
        <a:xfrm flipH="1">
          <a:off x="6703218" y="1285875"/>
          <a:ext cx="1" cy="2500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7514237" cy="655885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DFA2D77-3C36-40C9-BBC5-7FD4D34DBC84}"/>
            </a:ext>
          </a:extLst>
        </xdr:cNvPr>
        <xdr:cNvSpPr/>
      </xdr:nvSpPr>
      <xdr:spPr>
        <a:xfrm>
          <a:off x="28575" y="28575"/>
          <a:ext cx="7514237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PROYECTO SIX SIGMA: Project Charter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7981993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6D40A10-E47D-4125-8184-C47B0A279441}"/>
            </a:ext>
          </a:extLst>
        </xdr:cNvPr>
        <xdr:cNvSpPr/>
      </xdr:nvSpPr>
      <xdr:spPr>
        <a:xfrm>
          <a:off x="38100" y="38100"/>
          <a:ext cx="7981993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PROYECTO SIX SIGMA: Ejemplo - Pizzeria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15</xdr:row>
      <xdr:rowOff>0</xdr:rowOff>
    </xdr:from>
    <xdr:to>
      <xdr:col>6</xdr:col>
      <xdr:colOff>647700</xdr:colOff>
      <xdr:row>33</xdr:row>
      <xdr:rowOff>103161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2B74A24-25FA-4C6B-A2C4-0C1531D4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5343525" cy="35321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42863</xdr:colOff>
      <xdr:row>22</xdr:row>
      <xdr:rowOff>49213</xdr:rowOff>
    </xdr:from>
    <xdr:to>
      <xdr:col>8</xdr:col>
      <xdr:colOff>695325</xdr:colOff>
      <xdr:row>25</xdr:row>
      <xdr:rowOff>103334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15CB3B80-3F69-4EC1-A786-8472E7CAA39F}"/>
            </a:ext>
          </a:extLst>
        </xdr:cNvPr>
        <xdr:cNvSpPr txBox="1">
          <a:spLocks noChangeArrowheads="1"/>
        </xdr:cNvSpPr>
      </xdr:nvSpPr>
      <xdr:spPr bwMode="auto">
        <a:xfrm>
          <a:off x="4738688" y="4240213"/>
          <a:ext cx="2176462" cy="625621"/>
        </a:xfrm>
        <a:prstGeom prst="rect">
          <a:avLst/>
        </a:prstGeom>
        <a:solidFill>
          <a:srgbClr val="CCCCCC"/>
        </a:solidFill>
        <a:ln w="9525">
          <a:solidFill>
            <a:schemeClr val="tx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90000" tIns="46800" rIns="90000" bIns="46800">
          <a:spAutoFit/>
        </a:bodyPr>
        <a:lstStyle>
          <a:defPPr>
            <a:defRPr lang="de-DE"/>
          </a:defPPr>
          <a:lvl1pPr algn="l" rtl="0" fontAlgn="base">
            <a:spcBef>
              <a:spcPct val="0"/>
            </a:spcBef>
            <a:spcAft>
              <a:spcPct val="0"/>
            </a:spcAft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7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en-US" altLang="es-419" sz="1200"/>
            <a:t>Histograma do Tempo</a:t>
          </a:r>
        </a:p>
        <a:p>
          <a:r>
            <a:rPr lang="en-US" altLang="es-419" sz="1200"/>
            <a:t>de Entrega </a:t>
          </a:r>
        </a:p>
        <a:p>
          <a:r>
            <a:rPr lang="en-US" altLang="es-419" sz="1200"/>
            <a:t>Una muestra com 100 dados </a:t>
          </a:r>
        </a:p>
      </xdr:txBody>
    </xdr:sp>
    <xdr:clientData/>
  </xdr:twoCellAnchor>
  <xdr:twoCellAnchor editAs="oneCell">
    <xdr:from>
      <xdr:col>0</xdr:col>
      <xdr:colOff>1</xdr:colOff>
      <xdr:row>35</xdr:row>
      <xdr:rowOff>1</xdr:rowOff>
    </xdr:from>
    <xdr:to>
      <xdr:col>6</xdr:col>
      <xdr:colOff>628650</xdr:colOff>
      <xdr:row>51</xdr:row>
      <xdr:rowOff>30575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733CF3-FEB7-47F6-A9BC-8454592D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6667501"/>
          <a:ext cx="5324474" cy="30785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8</xdr:col>
      <xdr:colOff>265889</xdr:colOff>
      <xdr:row>72</xdr:row>
      <xdr:rowOff>94762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E1673AC-3F96-4095-AB68-604491C6C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06000"/>
          <a:ext cx="6485714" cy="3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619125</xdr:colOff>
      <xdr:row>96</xdr:row>
      <xdr:rowOff>37837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947FC2B-3895-4395-925C-2833382CD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68500"/>
          <a:ext cx="6076950" cy="365733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97</xdr:row>
      <xdr:rowOff>28575</xdr:rowOff>
    </xdr:from>
    <xdr:to>
      <xdr:col>9</xdr:col>
      <xdr:colOff>627700</xdr:colOff>
      <xdr:row>121</xdr:row>
      <xdr:rowOff>37527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AB2BC47-E817-4E53-A595-5133854F1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18507075"/>
          <a:ext cx="7600000" cy="45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3</xdr:col>
      <xdr:colOff>730511</xdr:colOff>
      <xdr:row>159</xdr:row>
      <xdr:rowOff>133350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F5B9FC6-6ED5-4C6D-BE0C-2C7957802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575000"/>
          <a:ext cx="3140336" cy="184785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150</xdr:row>
      <xdr:rowOff>0</xdr:rowOff>
    </xdr:from>
    <xdr:to>
      <xdr:col>8</xdr:col>
      <xdr:colOff>37734</xdr:colOff>
      <xdr:row>159</xdr:row>
      <xdr:rowOff>180738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434A959-E2FD-432F-9BCC-F96DE847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33750" y="28575000"/>
          <a:ext cx="2923809" cy="18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441893</xdr:colOff>
      <xdr:row>0</xdr:row>
      <xdr:rowOff>38100</xdr:rowOff>
    </xdr:from>
    <xdr:ext cx="9309216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5533B1A-8A51-4B56-B5EF-3056DE42B10B}"/>
            </a:ext>
          </a:extLst>
        </xdr:cNvPr>
        <xdr:cNvSpPr/>
      </xdr:nvSpPr>
      <xdr:spPr>
        <a:xfrm>
          <a:off x="441893" y="38100"/>
          <a:ext cx="9309216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PROYECTO SIX SIGMA: Caso - Empresa Servicios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 editAs="oneCell">
    <xdr:from>
      <xdr:col>12</xdr:col>
      <xdr:colOff>666750</xdr:colOff>
      <xdr:row>5</xdr:row>
      <xdr:rowOff>180975</xdr:rowOff>
    </xdr:from>
    <xdr:to>
      <xdr:col>17</xdr:col>
      <xdr:colOff>9068</xdr:colOff>
      <xdr:row>18</xdr:row>
      <xdr:rowOff>142595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71D562-0301-4B53-87AF-0228D9E8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5" y="1133475"/>
          <a:ext cx="3152318" cy="2438120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476250</xdr:colOff>
      <xdr:row>18</xdr:row>
      <xdr:rowOff>190499</xdr:rowOff>
    </xdr:from>
    <xdr:to>
      <xdr:col>17</xdr:col>
      <xdr:colOff>437253</xdr:colOff>
      <xdr:row>23</xdr:row>
      <xdr:rowOff>12783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9D703D-0BFA-407B-A28C-FB5ADF2F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53875" y="3619499"/>
          <a:ext cx="1485003" cy="774784"/>
        </a:xfrm>
        <a:prstGeom prst="rect">
          <a:avLst/>
        </a:prstGeom>
      </xdr:spPr>
    </xdr:pic>
    <xdr:clientData/>
  </xdr:twoCellAnchor>
  <xdr:twoCellAnchor editAs="oneCell">
    <xdr:from>
      <xdr:col>12</xdr:col>
      <xdr:colOff>742950</xdr:colOff>
      <xdr:row>19</xdr:row>
      <xdr:rowOff>47237</xdr:rowOff>
    </xdr:from>
    <xdr:to>
      <xdr:col>15</xdr:col>
      <xdr:colOff>180740</xdr:colOff>
      <xdr:row>23</xdr:row>
      <xdr:rowOff>142757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F314E5-4F15-431A-B123-BC497988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34575" y="3666737"/>
          <a:ext cx="1723790" cy="857520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24</xdr:row>
      <xdr:rowOff>47624</xdr:rowOff>
    </xdr:from>
    <xdr:to>
      <xdr:col>17</xdr:col>
      <xdr:colOff>66225</xdr:colOff>
      <xdr:row>27</xdr:row>
      <xdr:rowOff>47553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ADC386A-BADD-4269-9413-35888DE3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67850" y="4619624"/>
          <a:ext cx="3600000" cy="571429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28</xdr:row>
      <xdr:rowOff>133349</xdr:rowOff>
    </xdr:from>
    <xdr:to>
      <xdr:col>15</xdr:col>
      <xdr:colOff>571193</xdr:colOff>
      <xdr:row>31</xdr:row>
      <xdr:rowOff>171373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B7FBBA9-D402-48D2-A269-CE8CE5AA3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91675" y="5467349"/>
          <a:ext cx="2457143" cy="609524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33</xdr:row>
      <xdr:rowOff>19049</xdr:rowOff>
    </xdr:from>
    <xdr:to>
      <xdr:col>14</xdr:col>
      <xdr:colOff>209444</xdr:colOff>
      <xdr:row>36</xdr:row>
      <xdr:rowOff>66597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D222A2E-8D55-48B0-820F-90F0D25F8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77450" y="6305549"/>
          <a:ext cx="847619" cy="6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441893</xdr:colOff>
      <xdr:row>0</xdr:row>
      <xdr:rowOff>38100</xdr:rowOff>
    </xdr:from>
    <xdr:ext cx="9309216" cy="65588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BB04489-8EE4-4F63-86E7-674D91C39682}"/>
            </a:ext>
          </a:extLst>
        </xdr:cNvPr>
        <xdr:cNvSpPr/>
      </xdr:nvSpPr>
      <xdr:spPr>
        <a:xfrm>
          <a:off x="441893" y="38100"/>
          <a:ext cx="9309216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PROYECTO SIX SIGMA: Caso - Empresa Servicios</a:t>
          </a:r>
          <a:endParaRPr lang="es-ES" sz="36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 editAs="oneCell">
    <xdr:from>
      <xdr:col>18</xdr:col>
      <xdr:colOff>666750</xdr:colOff>
      <xdr:row>3</xdr:row>
      <xdr:rowOff>47625</xdr:rowOff>
    </xdr:from>
    <xdr:to>
      <xdr:col>23</xdr:col>
      <xdr:colOff>9068</xdr:colOff>
      <xdr:row>15</xdr:row>
      <xdr:rowOff>199745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651F24-E4ED-45A6-B68B-B07E4DF9D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2025" y="619125"/>
          <a:ext cx="3152318" cy="2438120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48</xdr:row>
      <xdr:rowOff>114299</xdr:rowOff>
    </xdr:from>
    <xdr:to>
      <xdr:col>23</xdr:col>
      <xdr:colOff>18154</xdr:colOff>
      <xdr:row>52</xdr:row>
      <xdr:rowOff>127083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EA00BF-B18B-403E-B72F-04D42E95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78425" y="9448799"/>
          <a:ext cx="1485003" cy="774784"/>
        </a:xfrm>
        <a:prstGeom prst="rect">
          <a:avLst/>
        </a:prstGeom>
      </xdr:spPr>
    </xdr:pic>
    <xdr:clientData/>
  </xdr:twoCellAnchor>
  <xdr:twoCellAnchor editAs="oneCell">
    <xdr:from>
      <xdr:col>18</xdr:col>
      <xdr:colOff>447675</xdr:colOff>
      <xdr:row>48</xdr:row>
      <xdr:rowOff>9137</xdr:rowOff>
    </xdr:from>
    <xdr:to>
      <xdr:col>20</xdr:col>
      <xdr:colOff>647465</xdr:colOff>
      <xdr:row>52</xdr:row>
      <xdr:rowOff>104657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9240D39-CED7-4CD9-A0EA-807C4A2AA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82950" y="9343637"/>
          <a:ext cx="1723790" cy="857520"/>
        </a:xfrm>
        <a:prstGeom prst="rect">
          <a:avLst/>
        </a:prstGeom>
      </xdr:spPr>
    </xdr:pic>
    <xdr:clientData/>
  </xdr:twoCellAnchor>
  <xdr:twoCellAnchor editAs="oneCell">
    <xdr:from>
      <xdr:col>18</xdr:col>
      <xdr:colOff>704850</xdr:colOff>
      <xdr:row>53</xdr:row>
      <xdr:rowOff>19049</xdr:rowOff>
    </xdr:from>
    <xdr:to>
      <xdr:col>23</xdr:col>
      <xdr:colOff>494850</xdr:colOff>
      <xdr:row>56</xdr:row>
      <xdr:rowOff>18978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B2473F1-25DD-4CB1-8393-8F9DA0426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40125" y="10306049"/>
          <a:ext cx="3600000" cy="5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</xdr:row>
      <xdr:rowOff>123824</xdr:rowOff>
    </xdr:from>
    <xdr:to>
      <xdr:col>20</xdr:col>
      <xdr:colOff>85619</xdr:colOff>
      <xdr:row>62</xdr:row>
      <xdr:rowOff>171372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8B6FF28-55C6-4000-8285-10B6FC25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97275" y="11553824"/>
          <a:ext cx="847619" cy="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41564</xdr:colOff>
      <xdr:row>138</xdr:row>
      <xdr:rowOff>19550</xdr:rowOff>
    </xdr:from>
    <xdr:to>
      <xdr:col>11</xdr:col>
      <xdr:colOff>789709</xdr:colOff>
      <xdr:row>173</xdr:row>
      <xdr:rowOff>149802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592583-CCE5-4CE9-A99C-0BD6757D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4" y="25068568"/>
          <a:ext cx="11152909" cy="643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205</xdr:row>
      <xdr:rowOff>0</xdr:rowOff>
    </xdr:from>
    <xdr:to>
      <xdr:col>9</xdr:col>
      <xdr:colOff>609600</xdr:colOff>
      <xdr:row>206</xdr:row>
      <xdr:rowOff>176212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4CBF8CA-F2DD-4A6F-94F8-734F24022EEC}"/>
            </a:ext>
          </a:extLst>
        </xdr:cNvPr>
        <xdr:cNvSpPr txBox="1">
          <a:spLocks noChangeArrowheads="1"/>
        </xdr:cNvSpPr>
      </xdr:nvSpPr>
      <xdr:spPr bwMode="auto">
        <a:xfrm>
          <a:off x="228600" y="39243000"/>
          <a:ext cx="8686800" cy="3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418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hlink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00000"/>
            </a:lnSpc>
            <a:buFontTx/>
            <a:buNone/>
          </a:pPr>
          <a:r>
            <a:rPr lang="es-ES_tradnl" altLang="es-PE" sz="1800"/>
            <a:t>BRAINSTORMING (TORMENTA DE IDEAS)</a:t>
          </a:r>
          <a:endParaRPr lang="es-ES" altLang="es-PE" sz="1800"/>
        </a:p>
      </xdr:txBody>
    </xdr:sp>
    <xdr:clientData/>
  </xdr:twoCellAnchor>
  <xdr:twoCellAnchor>
    <xdr:from>
      <xdr:col>0</xdr:col>
      <xdr:colOff>228600</xdr:colOff>
      <xdr:row>210</xdr:row>
      <xdr:rowOff>17373</xdr:rowOff>
    </xdr:from>
    <xdr:to>
      <xdr:col>1</xdr:col>
      <xdr:colOff>685800</xdr:colOff>
      <xdr:row>212</xdr:row>
      <xdr:rowOff>23812</xdr:rowOff>
    </xdr:to>
    <xdr:sp macro="" textlink="">
      <xdr:nvSpPr>
        <xdr:cNvPr id="11" name="Text Box 16">
          <a:extLst>
            <a:ext uri="{FF2B5EF4-FFF2-40B4-BE49-F238E27FC236}">
              <a16:creationId xmlns:a16="http://schemas.microsoft.com/office/drawing/2014/main" id="{B257C3DF-9562-47E7-881C-27217847A656}"/>
            </a:ext>
          </a:extLst>
        </xdr:cNvPr>
        <xdr:cNvSpPr txBox="1">
          <a:spLocks noChangeArrowheads="1"/>
        </xdr:cNvSpPr>
      </xdr:nvSpPr>
      <xdr:spPr bwMode="auto">
        <a:xfrm>
          <a:off x="228600" y="40212873"/>
          <a:ext cx="1219200" cy="3874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00000"/>
            </a:lnSpc>
            <a:buFontTx/>
            <a:buNone/>
          </a:pPr>
          <a:r>
            <a:rPr lang="es-ES_tradnl" altLang="es-PE" sz="1600">
              <a:solidFill>
                <a:srgbClr val="004182"/>
              </a:solidFill>
              <a:latin typeface="Arial" panose="020B0604020202020204" pitchFamily="34" charset="0"/>
            </a:rPr>
            <a:t>MISIÓN:</a:t>
          </a:r>
        </a:p>
      </xdr:txBody>
    </xdr:sp>
    <xdr:clientData/>
  </xdr:twoCellAnchor>
  <xdr:twoCellAnchor>
    <xdr:from>
      <xdr:col>6</xdr:col>
      <xdr:colOff>533400</xdr:colOff>
      <xdr:row>225</xdr:row>
      <xdr:rowOff>45171</xdr:rowOff>
    </xdr:from>
    <xdr:to>
      <xdr:col>9</xdr:col>
      <xdr:colOff>533400</xdr:colOff>
      <xdr:row>230</xdr:row>
      <xdr:rowOff>100012</xdr:rowOff>
    </xdr:to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419A4E31-D8EC-418C-B14B-23B3774AFCA2}"/>
            </a:ext>
          </a:extLst>
        </xdr:cNvPr>
        <xdr:cNvSpPr txBox="1">
          <a:spLocks noChangeArrowheads="1"/>
        </xdr:cNvSpPr>
      </xdr:nvSpPr>
      <xdr:spPr bwMode="auto">
        <a:xfrm>
          <a:off x="6276975" y="43098171"/>
          <a:ext cx="2562225" cy="10073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00000"/>
            </a:lnSpc>
            <a:buFontTx/>
            <a:buChar char="•"/>
          </a:pPr>
          <a:endParaRPr lang="es-ES_tradnl" altLang="es-PE" sz="1600">
            <a:solidFill>
              <a:srgbClr val="004182"/>
            </a:solidFill>
          </a:endParaRPr>
        </a:p>
      </xdr:txBody>
    </xdr:sp>
    <xdr:clientData/>
  </xdr:twoCellAnchor>
  <xdr:twoCellAnchor>
    <xdr:from>
      <xdr:col>0</xdr:col>
      <xdr:colOff>0</xdr:colOff>
      <xdr:row>216</xdr:row>
      <xdr:rowOff>93573</xdr:rowOff>
    </xdr:from>
    <xdr:to>
      <xdr:col>1</xdr:col>
      <xdr:colOff>533400</xdr:colOff>
      <xdr:row>218</xdr:row>
      <xdr:rowOff>100012</xdr:rowOff>
    </xdr:to>
    <xdr:sp macro="" textlink="">
      <xdr:nvSpPr>
        <xdr:cNvPr id="13" name="Text Box 19">
          <a:extLst>
            <a:ext uri="{FF2B5EF4-FFF2-40B4-BE49-F238E27FC236}">
              <a16:creationId xmlns:a16="http://schemas.microsoft.com/office/drawing/2014/main" id="{B2462A85-6705-4EF1-AC03-B73B78DFA3BB}"/>
            </a:ext>
          </a:extLst>
        </xdr:cNvPr>
        <xdr:cNvSpPr txBox="1">
          <a:spLocks noChangeArrowheads="1"/>
        </xdr:cNvSpPr>
      </xdr:nvSpPr>
      <xdr:spPr bwMode="auto">
        <a:xfrm>
          <a:off x="0" y="41432073"/>
          <a:ext cx="1295400" cy="3874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20000"/>
            </a:lnSpc>
            <a:buFontTx/>
            <a:buNone/>
          </a:pPr>
          <a:r>
            <a:rPr lang="es-ES_tradnl" altLang="es-PE" sz="1600">
              <a:solidFill>
                <a:srgbClr val="004182"/>
              </a:solidFill>
            </a:rPr>
            <a:t>FASES:</a:t>
          </a:r>
        </a:p>
        <a:p>
          <a:pPr>
            <a:lnSpc>
              <a:spcPct val="120000"/>
            </a:lnSpc>
            <a:buFont typeface="Wingdings" panose="05000000000000000000" pitchFamily="2" charset="2"/>
            <a:buChar char="Ø"/>
          </a:pPr>
          <a:endParaRPr lang="es-ES_tradnl" altLang="es-PE" sz="1600" b="0">
            <a:solidFill>
              <a:srgbClr val="004182"/>
            </a:solidFill>
            <a:latin typeface="Arial Narrow" panose="020B0606020202030204" pitchFamily="34" charset="0"/>
          </a:endParaRPr>
        </a:p>
        <a:p>
          <a:pPr>
            <a:lnSpc>
              <a:spcPct val="120000"/>
            </a:lnSpc>
            <a:buFont typeface="Wingdings" panose="05000000000000000000" pitchFamily="2" charset="2"/>
            <a:buChar char="Ø"/>
          </a:pPr>
          <a:endParaRPr lang="es-ES_tradnl" altLang="es-PE" sz="1600" b="0">
            <a:solidFill>
              <a:srgbClr val="004182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0</xdr:col>
      <xdr:colOff>228600</xdr:colOff>
      <xdr:row>226</xdr:row>
      <xdr:rowOff>16084</xdr:rowOff>
    </xdr:from>
    <xdr:to>
      <xdr:col>2</xdr:col>
      <xdr:colOff>152400</xdr:colOff>
      <xdr:row>228</xdr:row>
      <xdr:rowOff>100011</xdr:rowOff>
    </xdr:to>
    <xdr:sp macro="" textlink="">
      <xdr:nvSpPr>
        <xdr:cNvPr id="14" name="Text Box 21">
          <a:extLst>
            <a:ext uri="{FF2B5EF4-FFF2-40B4-BE49-F238E27FC236}">
              <a16:creationId xmlns:a16="http://schemas.microsoft.com/office/drawing/2014/main" id="{D9977D89-52EB-4825-82E5-A6E0B12E5336}"/>
            </a:ext>
          </a:extLst>
        </xdr:cNvPr>
        <xdr:cNvSpPr txBox="1">
          <a:spLocks noChangeArrowheads="1"/>
        </xdr:cNvSpPr>
      </xdr:nvSpPr>
      <xdr:spPr bwMode="auto">
        <a:xfrm>
          <a:off x="228600" y="43259584"/>
          <a:ext cx="1752600" cy="46492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00000"/>
            </a:lnSpc>
            <a:buFontTx/>
            <a:buNone/>
          </a:pPr>
          <a:endParaRPr lang="es-ES_tradnl" altLang="es-PE" sz="2000">
            <a:latin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228600</xdr:colOff>
      <xdr:row>212</xdr:row>
      <xdr:rowOff>130175</xdr:rowOff>
    </xdr:from>
    <xdr:to>
      <xdr:col>2</xdr:col>
      <xdr:colOff>219075</xdr:colOff>
      <xdr:row>214</xdr:row>
      <xdr:rowOff>85725</xdr:rowOff>
    </xdr:to>
    <xdr:sp macro="" textlink="">
      <xdr:nvSpPr>
        <xdr:cNvPr id="15" name="Rectangle 22">
          <a:extLst>
            <a:ext uri="{FF2B5EF4-FFF2-40B4-BE49-F238E27FC236}">
              <a16:creationId xmlns:a16="http://schemas.microsoft.com/office/drawing/2014/main" id="{2FAA6F62-946D-4B7A-9DEC-218BCA08642A}"/>
            </a:ext>
          </a:extLst>
        </xdr:cNvPr>
        <xdr:cNvSpPr>
          <a:spLocks noChangeArrowheads="1"/>
        </xdr:cNvSpPr>
      </xdr:nvSpPr>
      <xdr:spPr bwMode="auto">
        <a:xfrm>
          <a:off x="228600" y="40706675"/>
          <a:ext cx="1819275" cy="336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418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spAutoFit/>
        </a:bodyPr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 algn="ctr" eaLnBrk="1" hangingPunct="1">
            <a:lnSpc>
              <a:spcPct val="100000"/>
            </a:lnSpc>
            <a:buFontTx/>
            <a:buNone/>
          </a:pPr>
          <a:r>
            <a:rPr lang="es-ES_tradnl" altLang="es-PE" sz="1600">
              <a:solidFill>
                <a:srgbClr val="004182"/>
              </a:solidFill>
              <a:latin typeface="Arial" panose="020B0604020202020204" pitchFamily="34" charset="0"/>
            </a:rPr>
            <a:t>APLICACIÓN:</a:t>
          </a:r>
        </a:p>
      </xdr:txBody>
    </xdr:sp>
    <xdr:clientData/>
  </xdr:twoCellAnchor>
  <xdr:twoCellAnchor>
    <xdr:from>
      <xdr:col>2</xdr:col>
      <xdr:colOff>152400</xdr:colOff>
      <xdr:row>212</xdr:row>
      <xdr:rowOff>160337</xdr:rowOff>
    </xdr:from>
    <xdr:to>
      <xdr:col>9</xdr:col>
      <xdr:colOff>76200</xdr:colOff>
      <xdr:row>218</xdr:row>
      <xdr:rowOff>87312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078DD792-DB20-4404-9FA0-E13E6A8D814A}"/>
            </a:ext>
          </a:extLst>
        </xdr:cNvPr>
        <xdr:cNvSpPr>
          <a:spLocks noChangeArrowheads="1"/>
        </xdr:cNvSpPr>
      </xdr:nvSpPr>
      <xdr:spPr bwMode="auto">
        <a:xfrm>
          <a:off x="1981200" y="40736837"/>
          <a:ext cx="6400800" cy="1069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418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spAutoFit/>
        </a:bodyPr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 eaLnBrk="1" hangingPunct="1">
            <a:lnSpc>
              <a:spcPct val="100000"/>
            </a:lnSpc>
            <a:buFontTx/>
            <a:buChar char="•"/>
          </a:pPr>
          <a:r>
            <a:rPr lang="es-ES_tradnl" altLang="es-PE" sz="1600">
              <a:solidFill>
                <a:srgbClr val="004182"/>
              </a:solidFill>
            </a:rPr>
            <a:t>Identificación y definición de proyectos</a:t>
          </a:r>
        </a:p>
        <a:p>
          <a:pPr eaLnBrk="1" hangingPunct="1">
            <a:lnSpc>
              <a:spcPct val="100000"/>
            </a:lnSpc>
            <a:buFontTx/>
            <a:buChar char="•"/>
          </a:pPr>
          <a:r>
            <a:rPr lang="es-ES_tradnl" altLang="es-PE" sz="1600">
              <a:solidFill>
                <a:srgbClr val="004182"/>
              </a:solidFill>
            </a:rPr>
            <a:t>Diagnostico de causas: formulación de teorías</a:t>
          </a:r>
        </a:p>
        <a:p>
          <a:pPr eaLnBrk="1" hangingPunct="1">
            <a:lnSpc>
              <a:spcPct val="100000"/>
            </a:lnSpc>
            <a:buFontTx/>
            <a:buChar char="•"/>
          </a:pPr>
          <a:r>
            <a:rPr lang="es-ES_tradnl" altLang="es-PE" sz="1600">
              <a:solidFill>
                <a:srgbClr val="004182"/>
              </a:solidFill>
            </a:rPr>
            <a:t>Solución de causas</a:t>
          </a:r>
        </a:p>
        <a:p>
          <a:pPr eaLnBrk="1" hangingPunct="1">
            <a:lnSpc>
              <a:spcPct val="100000"/>
            </a:lnSpc>
            <a:buFontTx/>
            <a:buChar char="•"/>
          </a:pPr>
          <a:r>
            <a:rPr lang="es-ES_tradnl" altLang="es-PE" sz="1600">
              <a:solidFill>
                <a:srgbClr val="004182"/>
              </a:solidFill>
            </a:rPr>
            <a:t>Ideas de mejora</a:t>
          </a:r>
        </a:p>
      </xdr:txBody>
    </xdr:sp>
    <xdr:clientData/>
  </xdr:twoCellAnchor>
  <xdr:twoCellAnchor>
    <xdr:from>
      <xdr:col>0</xdr:col>
      <xdr:colOff>304800</xdr:colOff>
      <xdr:row>231</xdr:row>
      <xdr:rowOff>131673</xdr:rowOff>
    </xdr:from>
    <xdr:to>
      <xdr:col>9</xdr:col>
      <xdr:colOff>304800</xdr:colOff>
      <xdr:row>233</xdr:row>
      <xdr:rowOff>138112</xdr:rowOff>
    </xdr:to>
    <xdr:sp macro="" textlink="">
      <xdr:nvSpPr>
        <xdr:cNvPr id="17" name="AutoShape 28">
          <a:extLst>
            <a:ext uri="{FF2B5EF4-FFF2-40B4-BE49-F238E27FC236}">
              <a16:creationId xmlns:a16="http://schemas.microsoft.com/office/drawing/2014/main" id="{EED53F7F-2B94-41AF-8BF7-D2758A896129}"/>
            </a:ext>
          </a:extLst>
        </xdr:cNvPr>
        <xdr:cNvSpPr>
          <a:spLocks noChangeArrowheads="1"/>
        </xdr:cNvSpPr>
      </xdr:nvSpPr>
      <xdr:spPr bwMode="auto">
        <a:xfrm>
          <a:off x="304800" y="44327673"/>
          <a:ext cx="8305800" cy="387439"/>
        </a:xfrm>
        <a:prstGeom prst="flowChartAlternateProcess">
          <a:avLst/>
        </a:prstGeom>
        <a:noFill/>
        <a:ln w="38100" cap="rnd" algn="ctr">
          <a:solidFill>
            <a:srgbClr val="CD0023"/>
          </a:solidFill>
          <a:prstDash val="sysDot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73A0C8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r>
            <a:rPr lang="es-ES_tradnl" altLang="es-PE" sz="1600" i="1">
              <a:solidFill>
                <a:srgbClr val="004182"/>
              </a:solidFill>
            </a:rPr>
            <a:t>ESTIMULANTE          PARTICIPATIVA           INNOVACIÓN</a:t>
          </a:r>
        </a:p>
      </xdr:txBody>
    </xdr:sp>
    <xdr:clientData/>
  </xdr:twoCellAnchor>
  <xdr:twoCellAnchor>
    <xdr:from>
      <xdr:col>2</xdr:col>
      <xdr:colOff>76200</xdr:colOff>
      <xdr:row>208</xdr:row>
      <xdr:rowOff>177077</xdr:rowOff>
    </xdr:from>
    <xdr:to>
      <xdr:col>7</xdr:col>
      <xdr:colOff>685800</xdr:colOff>
      <xdr:row>212</xdr:row>
      <xdr:rowOff>23812</xdr:rowOff>
    </xdr:to>
    <xdr:sp macro="" textlink="">
      <xdr:nvSpPr>
        <xdr:cNvPr id="18" name="AutoShape 29">
          <a:extLst>
            <a:ext uri="{FF2B5EF4-FFF2-40B4-BE49-F238E27FC236}">
              <a16:creationId xmlns:a16="http://schemas.microsoft.com/office/drawing/2014/main" id="{6953CE1D-5401-46CC-BCC6-A1CE22FCE27D}"/>
            </a:ext>
          </a:extLst>
        </xdr:cNvPr>
        <xdr:cNvSpPr>
          <a:spLocks noChangeArrowheads="1"/>
        </xdr:cNvSpPr>
      </xdr:nvSpPr>
      <xdr:spPr bwMode="auto">
        <a:xfrm>
          <a:off x="1905000" y="39991577"/>
          <a:ext cx="5286375" cy="608735"/>
        </a:xfrm>
        <a:prstGeom prst="flowChartAlternateProcess">
          <a:avLst/>
        </a:prstGeom>
        <a:solidFill>
          <a:srgbClr val="73A0C8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r>
            <a:rPr lang="es-ES_tradnl" altLang="es-PE">
              <a:solidFill>
                <a:schemeClr val="bg1"/>
              </a:solidFill>
            </a:rPr>
            <a:t>GENERACIÓN DE IDEAS NUEVAS Y ÚTILES</a:t>
          </a:r>
        </a:p>
      </xdr:txBody>
    </xdr:sp>
    <xdr:clientData/>
  </xdr:twoCellAnchor>
  <xdr:twoCellAnchor>
    <xdr:from>
      <xdr:col>0</xdr:col>
      <xdr:colOff>304800</xdr:colOff>
      <xdr:row>218</xdr:row>
      <xdr:rowOff>168484</xdr:rowOff>
    </xdr:from>
    <xdr:to>
      <xdr:col>8</xdr:col>
      <xdr:colOff>152400</xdr:colOff>
      <xdr:row>221</xdr:row>
      <xdr:rowOff>61911</xdr:rowOff>
    </xdr:to>
    <xdr:sp macro="" textlink="">
      <xdr:nvSpPr>
        <xdr:cNvPr id="19" name="AutoShape 31">
          <a:extLst>
            <a:ext uri="{FF2B5EF4-FFF2-40B4-BE49-F238E27FC236}">
              <a16:creationId xmlns:a16="http://schemas.microsoft.com/office/drawing/2014/main" id="{0B9FF69E-A1E1-4F94-8F51-7CFE5E66ADB9}"/>
            </a:ext>
          </a:extLst>
        </xdr:cNvPr>
        <xdr:cNvSpPr>
          <a:spLocks noChangeArrowheads="1"/>
        </xdr:cNvSpPr>
      </xdr:nvSpPr>
      <xdr:spPr bwMode="auto">
        <a:xfrm>
          <a:off x="304800" y="41887984"/>
          <a:ext cx="7172325" cy="464927"/>
        </a:xfrm>
        <a:prstGeom prst="flowChartAlternateProcess">
          <a:avLst/>
        </a:prstGeom>
        <a:solidFill>
          <a:srgbClr val="CDFF6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20000"/>
            </a:lnSpc>
            <a:buFont typeface="Wingdings" panose="05000000000000000000" pitchFamily="2" charset="2"/>
            <a:buChar char="Ø"/>
          </a:pPr>
          <a:r>
            <a:rPr lang="es-ES_tradnl" altLang="es-PE">
              <a:solidFill>
                <a:srgbClr val="004182"/>
              </a:solidFill>
            </a:rPr>
            <a:t>DEFINICIÓN DEL GRUPO Y DEL MODERADOR </a:t>
          </a:r>
          <a:r>
            <a:rPr lang="es-ES_tradnl" altLang="es-PE" b="0">
              <a:solidFill>
                <a:srgbClr val="004182"/>
              </a:solidFill>
            </a:rPr>
            <a:t>(Reglas previas)</a:t>
          </a:r>
          <a:endParaRPr lang="es-ES_tradnl" altLang="es-PE" sz="1600" b="0" i="1">
            <a:solidFill>
              <a:srgbClr val="004182"/>
            </a:solidFill>
          </a:endParaRPr>
        </a:p>
      </xdr:txBody>
    </xdr:sp>
    <xdr:clientData/>
  </xdr:twoCellAnchor>
  <xdr:twoCellAnchor>
    <xdr:from>
      <xdr:col>0</xdr:col>
      <xdr:colOff>304800</xdr:colOff>
      <xdr:row>222</xdr:row>
      <xdr:rowOff>16084</xdr:rowOff>
    </xdr:from>
    <xdr:to>
      <xdr:col>6</xdr:col>
      <xdr:colOff>228600</xdr:colOff>
      <xdr:row>224</xdr:row>
      <xdr:rowOff>100011</xdr:rowOff>
    </xdr:to>
    <xdr:sp macro="" textlink="">
      <xdr:nvSpPr>
        <xdr:cNvPr id="20" name="AutoShape 32">
          <a:extLst>
            <a:ext uri="{FF2B5EF4-FFF2-40B4-BE49-F238E27FC236}">
              <a16:creationId xmlns:a16="http://schemas.microsoft.com/office/drawing/2014/main" id="{71635882-8785-445A-AD60-C280AA82FBF2}"/>
            </a:ext>
          </a:extLst>
        </xdr:cNvPr>
        <xdr:cNvSpPr>
          <a:spLocks noChangeArrowheads="1"/>
        </xdr:cNvSpPr>
      </xdr:nvSpPr>
      <xdr:spPr bwMode="auto">
        <a:xfrm>
          <a:off x="304800" y="42497584"/>
          <a:ext cx="5667375" cy="464927"/>
        </a:xfrm>
        <a:prstGeom prst="flowChartAlternateProcess">
          <a:avLst/>
        </a:prstGeom>
        <a:solidFill>
          <a:srgbClr val="CDFF6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20000"/>
            </a:lnSpc>
            <a:buFont typeface="Wingdings" panose="05000000000000000000" pitchFamily="2" charset="2"/>
            <a:buChar char="Ø"/>
          </a:pPr>
          <a:r>
            <a:rPr lang="es-ES_tradnl" altLang="es-PE">
              <a:solidFill>
                <a:srgbClr val="004182"/>
              </a:solidFill>
            </a:rPr>
            <a:t>REFLEXIÓN </a:t>
          </a:r>
          <a:r>
            <a:rPr lang="es-ES_tradnl" altLang="es-PE" b="0">
              <a:solidFill>
                <a:srgbClr val="004182"/>
              </a:solidFill>
            </a:rPr>
            <a:t>(Anotación en silencio de las ideas)</a:t>
          </a:r>
          <a:endParaRPr lang="es-ES_tradnl" altLang="es-PE" sz="1600" i="1">
            <a:solidFill>
              <a:srgbClr val="004182"/>
            </a:solidFill>
          </a:endParaRPr>
        </a:p>
      </xdr:txBody>
    </xdr:sp>
    <xdr:clientData/>
  </xdr:twoCellAnchor>
  <xdr:twoCellAnchor>
    <xdr:from>
      <xdr:col>0</xdr:col>
      <xdr:colOff>228600</xdr:colOff>
      <xdr:row>225</xdr:row>
      <xdr:rowOff>130385</xdr:rowOff>
    </xdr:from>
    <xdr:to>
      <xdr:col>8</xdr:col>
      <xdr:colOff>685800</xdr:colOff>
      <xdr:row>228</xdr:row>
      <xdr:rowOff>23812</xdr:rowOff>
    </xdr:to>
    <xdr:sp macro="" textlink="">
      <xdr:nvSpPr>
        <xdr:cNvPr id="21" name="AutoShape 33">
          <a:extLst>
            <a:ext uri="{FF2B5EF4-FFF2-40B4-BE49-F238E27FC236}">
              <a16:creationId xmlns:a16="http://schemas.microsoft.com/office/drawing/2014/main" id="{EA6030AD-AC53-40AD-BC2D-C3B1CC9D3542}"/>
            </a:ext>
          </a:extLst>
        </xdr:cNvPr>
        <xdr:cNvSpPr>
          <a:spLocks noChangeArrowheads="1"/>
        </xdr:cNvSpPr>
      </xdr:nvSpPr>
      <xdr:spPr bwMode="auto">
        <a:xfrm>
          <a:off x="228600" y="43183385"/>
          <a:ext cx="7781925" cy="464927"/>
        </a:xfrm>
        <a:prstGeom prst="flowChartAlternateProcess">
          <a:avLst/>
        </a:prstGeom>
        <a:solidFill>
          <a:srgbClr val="CDFF6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20000"/>
            </a:lnSpc>
            <a:buFont typeface="Wingdings" panose="05000000000000000000" pitchFamily="2" charset="2"/>
            <a:buChar char="Ø"/>
          </a:pPr>
          <a:r>
            <a:rPr lang="es-ES_tradnl" altLang="es-PE">
              <a:solidFill>
                <a:srgbClr val="004182"/>
              </a:solidFill>
            </a:rPr>
            <a:t>EMISIÓN DE IDEAS </a:t>
          </a:r>
          <a:r>
            <a:rPr lang="es-ES_tradnl" altLang="es-PE" b="0">
              <a:solidFill>
                <a:srgbClr val="004182"/>
              </a:solidFill>
            </a:rPr>
            <a:t>(Puesta en común de manera ordenada y secuencial)</a:t>
          </a:r>
        </a:p>
      </xdr:txBody>
    </xdr:sp>
    <xdr:clientData/>
  </xdr:twoCellAnchor>
  <xdr:twoCellAnchor>
    <xdr:from>
      <xdr:col>0</xdr:col>
      <xdr:colOff>304800</xdr:colOff>
      <xdr:row>228</xdr:row>
      <xdr:rowOff>92284</xdr:rowOff>
    </xdr:from>
    <xdr:to>
      <xdr:col>7</xdr:col>
      <xdr:colOff>685800</xdr:colOff>
      <xdr:row>230</xdr:row>
      <xdr:rowOff>176211</xdr:rowOff>
    </xdr:to>
    <xdr:sp macro="" textlink="">
      <xdr:nvSpPr>
        <xdr:cNvPr id="22" name="AutoShape 34">
          <a:extLst>
            <a:ext uri="{FF2B5EF4-FFF2-40B4-BE49-F238E27FC236}">
              <a16:creationId xmlns:a16="http://schemas.microsoft.com/office/drawing/2014/main" id="{2FBB76F9-57BF-4D0D-B3C1-011C51B8EFE6}"/>
            </a:ext>
          </a:extLst>
        </xdr:cNvPr>
        <xdr:cNvSpPr>
          <a:spLocks noChangeArrowheads="1"/>
        </xdr:cNvSpPr>
      </xdr:nvSpPr>
      <xdr:spPr bwMode="auto">
        <a:xfrm>
          <a:off x="304800" y="43716784"/>
          <a:ext cx="6886575" cy="464927"/>
        </a:xfrm>
        <a:prstGeom prst="flowChartAlternateProcess">
          <a:avLst/>
        </a:prstGeom>
        <a:solidFill>
          <a:srgbClr val="CDFF6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20000"/>
            </a:lnSpc>
            <a:buFont typeface="Wingdings" panose="05000000000000000000" pitchFamily="2" charset="2"/>
            <a:buChar char="Ø"/>
          </a:pPr>
          <a:r>
            <a:rPr lang="es-ES_tradnl" altLang="es-PE">
              <a:solidFill>
                <a:srgbClr val="004182"/>
              </a:solidFill>
            </a:rPr>
            <a:t>ANÁLISIS DE IDEAS </a:t>
          </a:r>
          <a:r>
            <a:rPr lang="es-ES_tradnl" altLang="es-PE" b="0">
              <a:solidFill>
                <a:srgbClr val="004182"/>
              </a:solidFill>
            </a:rPr>
            <a:t>(Mediante alguna Herramienta de Gestión)</a:t>
          </a:r>
        </a:p>
      </xdr:txBody>
    </xdr:sp>
    <xdr:clientData/>
  </xdr:twoCellAnchor>
  <xdr:twoCellAnchor>
    <xdr:from>
      <xdr:col>7</xdr:col>
      <xdr:colOff>495300</xdr:colOff>
      <xdr:row>220</xdr:row>
      <xdr:rowOff>50644</xdr:rowOff>
    </xdr:from>
    <xdr:to>
      <xdr:col>11</xdr:col>
      <xdr:colOff>676275</xdr:colOff>
      <xdr:row>225</xdr:row>
      <xdr:rowOff>170310</xdr:rowOff>
    </xdr:to>
    <xdr:sp macro="" textlink="">
      <xdr:nvSpPr>
        <xdr:cNvPr id="23" name="AutoShape 30">
          <a:extLst>
            <a:ext uri="{FF2B5EF4-FFF2-40B4-BE49-F238E27FC236}">
              <a16:creationId xmlns:a16="http://schemas.microsoft.com/office/drawing/2014/main" id="{A026351C-21AA-49E5-AFA9-5E7D402F7866}"/>
            </a:ext>
          </a:extLst>
        </xdr:cNvPr>
        <xdr:cNvSpPr>
          <a:spLocks noChangeArrowheads="1"/>
        </xdr:cNvSpPr>
      </xdr:nvSpPr>
      <xdr:spPr bwMode="auto">
        <a:xfrm>
          <a:off x="7000875" y="42151144"/>
          <a:ext cx="3648075" cy="1072166"/>
        </a:xfrm>
        <a:prstGeom prst="flowChartAlternateProcess">
          <a:avLst/>
        </a:prstGeom>
        <a:solidFill>
          <a:srgbClr val="73A0C8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 anchorCtr="1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 algn="ctr">
            <a:lnSpc>
              <a:spcPct val="125000"/>
            </a:lnSpc>
          </a:pPr>
          <a:r>
            <a:rPr lang="es-ES_tradnl" altLang="es-PE">
              <a:solidFill>
                <a:schemeClr val="bg1"/>
              </a:solidFill>
              <a:latin typeface="Arial Narrow" panose="020B0606020202030204" pitchFamily="34" charset="0"/>
            </a:rPr>
            <a:t>Prohibida la censura, </a:t>
          </a:r>
        </a:p>
        <a:p>
          <a:pPr algn="ctr">
            <a:lnSpc>
              <a:spcPct val="125000"/>
            </a:lnSpc>
          </a:pPr>
          <a:r>
            <a:rPr lang="es-ES_tradnl" altLang="es-PE">
              <a:solidFill>
                <a:schemeClr val="bg1"/>
              </a:solidFill>
              <a:latin typeface="Arial Narrow" panose="020B0606020202030204" pitchFamily="34" charset="0"/>
            </a:rPr>
            <a:t>apoyo a la imaginación libre, </a:t>
          </a:r>
        </a:p>
        <a:p>
          <a:pPr algn="ctr">
            <a:lnSpc>
              <a:spcPct val="125000"/>
            </a:lnSpc>
          </a:pPr>
          <a:r>
            <a:rPr lang="es-ES_tradnl" altLang="es-PE">
              <a:solidFill>
                <a:schemeClr val="bg1"/>
              </a:solidFill>
              <a:latin typeface="Arial Narrow" panose="020B0606020202030204" pitchFamily="34" charset="0"/>
            </a:rPr>
            <a:t>OBJETIVO: obtener el máximo nº de ideas </a:t>
          </a:r>
        </a:p>
      </xdr:txBody>
    </xdr:sp>
    <xdr:clientData/>
  </xdr:twoCellAnchor>
  <xdr:twoCellAnchor>
    <xdr:from>
      <xdr:col>13</xdr:col>
      <xdr:colOff>0</xdr:colOff>
      <xdr:row>206</xdr:row>
      <xdr:rowOff>0</xdr:rowOff>
    </xdr:from>
    <xdr:to>
      <xdr:col>22</xdr:col>
      <xdr:colOff>381000</xdr:colOff>
      <xdr:row>207</xdr:row>
      <xdr:rowOff>176212</xdr:rowOff>
    </xdr:to>
    <xdr:sp macro="" textlink="">
      <xdr:nvSpPr>
        <xdr:cNvPr id="24" name="Text Box 7">
          <a:extLst>
            <a:ext uri="{FF2B5EF4-FFF2-40B4-BE49-F238E27FC236}">
              <a16:creationId xmlns:a16="http://schemas.microsoft.com/office/drawing/2014/main" id="{329ED361-80A3-4428-9DEB-536E56770A59}"/>
            </a:ext>
          </a:extLst>
        </xdr:cNvPr>
        <xdr:cNvSpPr txBox="1">
          <a:spLocks noChangeArrowheads="1"/>
        </xdr:cNvSpPr>
      </xdr:nvSpPr>
      <xdr:spPr bwMode="auto">
        <a:xfrm>
          <a:off x="11668125" y="39433500"/>
          <a:ext cx="7296150" cy="36671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4182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hlink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00000"/>
            </a:lnSpc>
            <a:buFontTx/>
            <a:buNone/>
          </a:pPr>
          <a:r>
            <a:rPr lang="es-ES_tradnl" altLang="es-PE" sz="1800" b="0"/>
            <a:t>BRAINSTORMING (TORMENTA DE IDEAS)</a:t>
          </a:r>
          <a:endParaRPr lang="es-ES" altLang="es-PE" sz="1800" b="0"/>
        </a:p>
      </xdr:txBody>
    </xdr:sp>
    <xdr:clientData/>
  </xdr:twoCellAnchor>
  <xdr:twoCellAnchor>
    <xdr:from>
      <xdr:col>13</xdr:col>
      <xdr:colOff>162719</xdr:colOff>
      <xdr:row>225</xdr:row>
      <xdr:rowOff>80556</xdr:rowOff>
    </xdr:from>
    <xdr:to>
      <xdr:col>15</xdr:col>
      <xdr:colOff>86519</xdr:colOff>
      <xdr:row>227</xdr:row>
      <xdr:rowOff>156756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D5AE9D1E-D481-4F8C-B677-4AD6C9964B58}"/>
            </a:ext>
          </a:extLst>
        </xdr:cNvPr>
        <xdr:cNvSpPr txBox="1">
          <a:spLocks noChangeArrowheads="1"/>
        </xdr:cNvSpPr>
      </xdr:nvSpPr>
      <xdr:spPr bwMode="auto">
        <a:xfrm>
          <a:off x="11830844" y="43133556"/>
          <a:ext cx="1476375" cy="45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/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>
            <a:lnSpc>
              <a:spcPct val="100000"/>
            </a:lnSpc>
            <a:buFontTx/>
            <a:buNone/>
          </a:pPr>
          <a:endParaRPr lang="es-ES_tradnl" altLang="es-PE" sz="2000"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13</xdr:col>
      <xdr:colOff>315119</xdr:colOff>
      <xdr:row>215</xdr:row>
      <xdr:rowOff>80556</xdr:rowOff>
    </xdr:from>
    <xdr:to>
      <xdr:col>15</xdr:col>
      <xdr:colOff>667544</xdr:colOff>
      <xdr:row>231</xdr:row>
      <xdr:rowOff>101703</xdr:rowOff>
    </xdr:to>
    <xdr:pic>
      <xdr:nvPicPr>
        <xdr:cNvPr id="26" name="table">
          <a:extLst>
            <a:ext uri="{FF2B5EF4-FFF2-40B4-BE49-F238E27FC236}">
              <a16:creationId xmlns:a16="http://schemas.microsoft.com/office/drawing/2014/main" id="{3997CFFE-5FEE-4CE4-BDA2-5EA4939B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83244" y="41228556"/>
          <a:ext cx="1905000" cy="3069147"/>
        </a:xfrm>
        <a:prstGeom prst="rect">
          <a:avLst/>
        </a:prstGeom>
      </xdr:spPr>
    </xdr:pic>
    <xdr:clientData/>
  </xdr:twoCellAnchor>
  <xdr:twoCellAnchor editAs="oneCell">
    <xdr:from>
      <xdr:col>16</xdr:col>
      <xdr:colOff>315119</xdr:colOff>
      <xdr:row>215</xdr:row>
      <xdr:rowOff>80556</xdr:rowOff>
    </xdr:from>
    <xdr:to>
      <xdr:col>18</xdr:col>
      <xdr:colOff>696120</xdr:colOff>
      <xdr:row>231</xdr:row>
      <xdr:rowOff>146088</xdr:rowOff>
    </xdr:to>
    <xdr:pic>
      <xdr:nvPicPr>
        <xdr:cNvPr id="27" name="table">
          <a:extLst>
            <a:ext uri="{FF2B5EF4-FFF2-40B4-BE49-F238E27FC236}">
              <a16:creationId xmlns:a16="http://schemas.microsoft.com/office/drawing/2014/main" id="{09ED4D9D-72F3-4CDF-83AE-A7837A135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26394" y="41228556"/>
          <a:ext cx="1905000" cy="3113532"/>
        </a:xfrm>
        <a:prstGeom prst="rect">
          <a:avLst/>
        </a:prstGeom>
      </xdr:spPr>
    </xdr:pic>
    <xdr:clientData/>
  </xdr:twoCellAnchor>
  <xdr:twoCellAnchor editAs="oneCell">
    <xdr:from>
      <xdr:col>13</xdr:col>
      <xdr:colOff>543719</xdr:colOff>
      <xdr:row>209</xdr:row>
      <xdr:rowOff>80556</xdr:rowOff>
    </xdr:from>
    <xdr:to>
      <xdr:col>15</xdr:col>
      <xdr:colOff>334169</xdr:colOff>
      <xdr:row>214</xdr:row>
      <xdr:rowOff>28169</xdr:rowOff>
    </xdr:to>
    <xdr:pic>
      <xdr:nvPicPr>
        <xdr:cNvPr id="28" name="Picture 374" descr="MCBD06811_0000[1]">
          <a:extLst>
            <a:ext uri="{FF2B5EF4-FFF2-40B4-BE49-F238E27FC236}">
              <a16:creationId xmlns:a16="http://schemas.microsoft.com/office/drawing/2014/main" id="{6572017F-4AE5-4938-BAE3-13779467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844" y="40085556"/>
          <a:ext cx="1343025" cy="90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543719</xdr:colOff>
      <xdr:row>209</xdr:row>
      <xdr:rowOff>80556</xdr:rowOff>
    </xdr:from>
    <xdr:to>
      <xdr:col>21</xdr:col>
      <xdr:colOff>619918</xdr:colOff>
      <xdr:row>214</xdr:row>
      <xdr:rowOff>118656</xdr:rowOff>
    </xdr:to>
    <xdr:pic>
      <xdr:nvPicPr>
        <xdr:cNvPr id="29" name="Picture 376" descr="MCj02317730000[1]">
          <a:extLst>
            <a:ext uri="{FF2B5EF4-FFF2-40B4-BE49-F238E27FC236}">
              <a16:creationId xmlns:a16="http://schemas.microsoft.com/office/drawing/2014/main" id="{B1669DE9-29B0-4769-9A27-56E1B7CEE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994" y="40085556"/>
          <a:ext cx="16002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619919</xdr:colOff>
      <xdr:row>209</xdr:row>
      <xdr:rowOff>80556</xdr:rowOff>
    </xdr:from>
    <xdr:to>
      <xdr:col>18</xdr:col>
      <xdr:colOff>523083</xdr:colOff>
      <xdr:row>214</xdr:row>
      <xdr:rowOff>24994</xdr:rowOff>
    </xdr:to>
    <xdr:pic>
      <xdr:nvPicPr>
        <xdr:cNvPr id="30" name="Picture 377" descr="MCj03434490000[1]">
          <a:extLst>
            <a:ext uri="{FF2B5EF4-FFF2-40B4-BE49-F238E27FC236}">
              <a16:creationId xmlns:a16="http://schemas.microsoft.com/office/drawing/2014/main" id="{24689260-6FD2-4235-9BD4-8E5CC356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1194" y="40085556"/>
          <a:ext cx="1427163" cy="896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467519</xdr:colOff>
      <xdr:row>216</xdr:row>
      <xdr:rowOff>42456</xdr:rowOff>
    </xdr:from>
    <xdr:to>
      <xdr:col>22</xdr:col>
      <xdr:colOff>215107</xdr:colOff>
      <xdr:row>217</xdr:row>
      <xdr:rowOff>156756</xdr:rowOff>
    </xdr:to>
    <xdr:sp macro="" textlink="">
      <xdr:nvSpPr>
        <xdr:cNvPr id="31" name="Rectangle 380">
          <a:extLst>
            <a:ext uri="{FF2B5EF4-FFF2-40B4-BE49-F238E27FC236}">
              <a16:creationId xmlns:a16="http://schemas.microsoft.com/office/drawing/2014/main" id="{5E072600-54AD-4843-9E50-FC9385D406EC}"/>
            </a:ext>
          </a:extLst>
        </xdr:cNvPr>
        <xdr:cNvSpPr>
          <a:spLocks noChangeArrowheads="1"/>
        </xdr:cNvSpPr>
      </xdr:nvSpPr>
      <xdr:spPr bwMode="auto">
        <a:xfrm>
          <a:off x="16764794" y="41380956"/>
          <a:ext cx="2033588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73A0C8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Ctr="1">
          <a:spAutoFit/>
        </a:bodyPr>
        <a:lstStyle>
          <a:defPPr>
            <a:defRPr lang="es-E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sz="1600" b="1" kern="1200">
              <a:solidFill>
                <a:schemeClr val="tx1"/>
              </a:solidFill>
              <a:latin typeface="Times New Roman" pitchFamily="18" charset="0"/>
              <a:ea typeface="+mn-ea"/>
              <a:cs typeface="Arial" charset="0"/>
            </a:defRPr>
          </a:lvl9pPr>
        </a:lstStyle>
        <a:p>
          <a:pPr eaLnBrk="1" hangingPunct="1">
            <a:lnSpc>
              <a:spcPct val="100000"/>
            </a:lnSpc>
            <a:buFontTx/>
            <a:buNone/>
          </a:pPr>
          <a:endParaRPr lang="es-PE" altLang="es-PE" b="0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19</xdr:col>
      <xdr:colOff>391319</xdr:colOff>
      <xdr:row>215</xdr:row>
      <xdr:rowOff>156756</xdr:rowOff>
    </xdr:from>
    <xdr:to>
      <xdr:col>22</xdr:col>
      <xdr:colOff>86519</xdr:colOff>
      <xdr:row>219</xdr:row>
      <xdr:rowOff>1030</xdr:rowOff>
    </xdr:to>
    <xdr:pic>
      <xdr:nvPicPr>
        <xdr:cNvPr id="32" name="table">
          <a:extLst>
            <a:ext uri="{FF2B5EF4-FFF2-40B4-BE49-F238E27FC236}">
              <a16:creationId xmlns:a16="http://schemas.microsoft.com/office/drawing/2014/main" id="{292D7E50-C3FB-4743-AB5B-7F77A7B43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688594" y="41304756"/>
          <a:ext cx="1981200" cy="60350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77</xdr:row>
      <xdr:rowOff>171450</xdr:rowOff>
    </xdr:from>
    <xdr:to>
      <xdr:col>1</xdr:col>
      <xdr:colOff>1003163</xdr:colOff>
      <xdr:row>82</xdr:row>
      <xdr:rowOff>151719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BB45857-D117-4CC2-BD60-723DAD04F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030450"/>
          <a:ext cx="1877731" cy="932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2</xdr:col>
      <xdr:colOff>1197095</xdr:colOff>
      <xdr:row>95</xdr:row>
      <xdr:rowOff>152120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5972AF1-4D58-4017-9AFC-D6271AED4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00"/>
          <a:ext cx="3152318" cy="2438120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77</xdr:row>
      <xdr:rowOff>147637</xdr:rowOff>
    </xdr:from>
    <xdr:to>
      <xdr:col>11</xdr:col>
      <xdr:colOff>409575</xdr:colOff>
      <xdr:row>92</xdr:row>
      <xdr:rowOff>33337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39669284-EEEF-42AC-B949-A08832B5B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563676</xdr:colOff>
      <xdr:row>104</xdr:row>
      <xdr:rowOff>12784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124C3120-E4B3-4A46-A0DF-D3B86F11C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40500"/>
          <a:ext cx="1485003" cy="774784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96</xdr:row>
      <xdr:rowOff>80962</xdr:rowOff>
    </xdr:from>
    <xdr:to>
      <xdr:col>11</xdr:col>
      <xdr:colOff>152400</xdr:colOff>
      <xdr:row>110</xdr:row>
      <xdr:rowOff>157162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C9FF139-2A04-4466-B840-12FEE5487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476250</xdr:colOff>
      <xdr:row>114</xdr:row>
      <xdr:rowOff>38100</xdr:rowOff>
    </xdr:from>
    <xdr:to>
      <xdr:col>3</xdr:col>
      <xdr:colOff>919595</xdr:colOff>
      <xdr:row>117</xdr:row>
      <xdr:rowOff>33577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6B438A88-9EA8-4880-886E-26B48959D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6250" y="21945600"/>
          <a:ext cx="3603048" cy="56697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117</xdr:row>
      <xdr:rowOff>76200</xdr:rowOff>
    </xdr:from>
    <xdr:to>
      <xdr:col>1</xdr:col>
      <xdr:colOff>1057169</xdr:colOff>
      <xdr:row>120</xdr:row>
      <xdr:rowOff>123748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02354C2-12FF-42DB-A2FA-3427A916C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1550" y="22555200"/>
          <a:ext cx="847619" cy="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218767</xdr:colOff>
      <xdr:row>130</xdr:row>
      <xdr:rowOff>38024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83EC4694-87B3-47B4-8BFB-6D9425CC3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24384000"/>
          <a:ext cx="2457143" cy="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48"/>
  <sheetViews>
    <sheetView zoomScaleNormal="100" workbookViewId="0">
      <selection activeCell="D23" sqref="D23"/>
    </sheetView>
  </sheetViews>
  <sheetFormatPr baseColWidth="10" defaultColWidth="11.42578125" defaultRowHeight="15" x14ac:dyDescent="0.25"/>
  <cols>
    <col min="1" max="1" width="5.140625" style="1" customWidth="1"/>
    <col min="2" max="2" width="11.85546875" style="1" bestFit="1" customWidth="1"/>
    <col min="3" max="3" width="40.7109375" style="1" customWidth="1"/>
    <col min="4" max="4" width="57.5703125" style="1" customWidth="1"/>
    <col min="5" max="16384" width="11.42578125" style="1"/>
  </cols>
  <sheetData>
    <row r="5" spans="1:4" x14ac:dyDescent="0.25">
      <c r="C5" s="11" t="s">
        <v>4</v>
      </c>
      <c r="D5" s="13" t="s">
        <v>5</v>
      </c>
    </row>
    <row r="6" spans="1:4" ht="45" x14ac:dyDescent="0.25">
      <c r="A6" s="8" t="s">
        <v>0</v>
      </c>
      <c r="B6" s="9" t="s">
        <v>297</v>
      </c>
      <c r="C6" s="12" t="s">
        <v>1</v>
      </c>
      <c r="D6" s="14" t="s">
        <v>2</v>
      </c>
    </row>
    <row r="7" spans="1:4" ht="75" x14ac:dyDescent="0.25">
      <c r="A7" s="8" t="s">
        <v>6</v>
      </c>
      <c r="B7" s="9" t="s">
        <v>10</v>
      </c>
      <c r="C7" s="12" t="s">
        <v>14</v>
      </c>
      <c r="D7" s="14" t="s">
        <v>298</v>
      </c>
    </row>
    <row r="8" spans="1:4" ht="30" x14ac:dyDescent="0.25">
      <c r="A8" s="8" t="s">
        <v>7</v>
      </c>
      <c r="B8" s="9" t="s">
        <v>11</v>
      </c>
      <c r="C8" s="12" t="s">
        <v>485</v>
      </c>
      <c r="D8" s="14" t="s">
        <v>15</v>
      </c>
    </row>
    <row r="9" spans="1:4" ht="30" x14ac:dyDescent="0.25">
      <c r="A9" s="8" t="s">
        <v>8</v>
      </c>
      <c r="B9" s="9" t="s">
        <v>12</v>
      </c>
      <c r="C9" s="12" t="s">
        <v>16</v>
      </c>
      <c r="D9" s="14" t="s">
        <v>17</v>
      </c>
    </row>
    <row r="10" spans="1:4" ht="30" x14ac:dyDescent="0.25">
      <c r="A10" s="8" t="s">
        <v>9</v>
      </c>
      <c r="B10" s="9" t="s">
        <v>13</v>
      </c>
      <c r="C10" s="12" t="s">
        <v>299</v>
      </c>
      <c r="D10" s="14" t="s">
        <v>18</v>
      </c>
    </row>
    <row r="11" spans="1:4" x14ac:dyDescent="0.25">
      <c r="A11" s="3"/>
      <c r="B11" s="4"/>
      <c r="C11" s="5"/>
      <c r="D11" s="5"/>
    </row>
    <row r="12" spans="1:4" x14ac:dyDescent="0.25">
      <c r="A12" s="3"/>
      <c r="B12" s="4"/>
      <c r="C12" s="5"/>
      <c r="D12" s="5"/>
    </row>
    <row r="13" spans="1:4" x14ac:dyDescent="0.25">
      <c r="A13" s="3"/>
      <c r="B13" s="4"/>
      <c r="C13" s="5"/>
      <c r="D13" s="5"/>
    </row>
    <row r="14" spans="1:4" x14ac:dyDescent="0.25">
      <c r="A14" s="3"/>
      <c r="B14" s="4"/>
      <c r="C14" s="5"/>
      <c r="D14" s="5"/>
    </row>
    <row r="15" spans="1:4" x14ac:dyDescent="0.25">
      <c r="A15" s="3"/>
      <c r="B15" s="4"/>
      <c r="C15" s="5"/>
      <c r="D15" s="5"/>
    </row>
    <row r="16" spans="1:4" x14ac:dyDescent="0.25">
      <c r="A16" s="3"/>
      <c r="B16" s="4"/>
      <c r="C16" s="5"/>
      <c r="D16" s="5"/>
    </row>
    <row r="17" spans="1:4" x14ac:dyDescent="0.25">
      <c r="A17" s="3"/>
      <c r="B17" s="4"/>
      <c r="C17" s="5"/>
      <c r="D17" s="5"/>
    </row>
    <row r="18" spans="1:4" x14ac:dyDescent="0.25">
      <c r="A18" s="3"/>
      <c r="B18" s="4"/>
      <c r="C18" s="5"/>
      <c r="D18" s="5"/>
    </row>
    <row r="19" spans="1:4" x14ac:dyDescent="0.25">
      <c r="A19" s="3"/>
      <c r="B19" s="4"/>
      <c r="C19" s="5"/>
      <c r="D19" s="5"/>
    </row>
    <row r="20" spans="1:4" x14ac:dyDescent="0.25">
      <c r="A20" s="3"/>
      <c r="B20" s="4"/>
      <c r="C20" s="5"/>
      <c r="D20" s="5"/>
    </row>
    <row r="21" spans="1:4" x14ac:dyDescent="0.25">
      <c r="A21" s="2"/>
      <c r="C21" s="5"/>
    </row>
    <row r="22" spans="1:4" x14ac:dyDescent="0.25">
      <c r="A22" s="2"/>
    </row>
    <row r="23" spans="1:4" x14ac:dyDescent="0.25">
      <c r="A23" s="2"/>
    </row>
    <row r="25" spans="1:4" x14ac:dyDescent="0.25">
      <c r="B25" s="15" t="s">
        <v>19</v>
      </c>
    </row>
    <row r="48" spans="5:5" x14ac:dyDescent="0.25">
      <c r="E48" s="15" t="s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I41"/>
  <sheetViews>
    <sheetView tabSelected="1" zoomScale="110" zoomScaleNormal="110" workbookViewId="0">
      <pane ySplit="5" topLeftCell="A18" activePane="bottomLeft" state="frozen"/>
      <selection pane="bottomLeft" activeCell="I24" sqref="I24"/>
    </sheetView>
  </sheetViews>
  <sheetFormatPr baseColWidth="10" defaultColWidth="11.42578125" defaultRowHeight="15" x14ac:dyDescent="0.25"/>
  <cols>
    <col min="1" max="1" width="11.42578125" style="1"/>
    <col min="2" max="2" width="49.140625" style="1" bestFit="1" customWidth="1"/>
    <col min="3" max="3" width="2.28515625" style="1" bestFit="1" customWidth="1"/>
    <col min="4" max="4" width="2.85546875" style="1" bestFit="1" customWidth="1"/>
    <col min="5" max="5" width="2.28515625" style="1" bestFit="1" customWidth="1"/>
    <col min="6" max="7" width="2.140625" style="1" bestFit="1" customWidth="1"/>
    <col min="8" max="8" width="63.5703125" style="1" bestFit="1" customWidth="1"/>
    <col min="9" max="9" width="4.5703125" style="1" customWidth="1"/>
    <col min="10" max="16384" width="11.42578125" style="1"/>
  </cols>
  <sheetData>
    <row r="4" spans="1:9" x14ac:dyDescent="0.25">
      <c r="C4" s="64" t="s">
        <v>23</v>
      </c>
      <c r="D4" s="64"/>
      <c r="E4" s="64"/>
      <c r="F4" s="64"/>
      <c r="G4" s="64"/>
    </row>
    <row r="5" spans="1:9" x14ac:dyDescent="0.25">
      <c r="B5" s="18" t="s">
        <v>21</v>
      </c>
      <c r="C5" s="10" t="s">
        <v>0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22</v>
      </c>
    </row>
    <row r="6" spans="1:9" ht="15.75" x14ac:dyDescent="0.25">
      <c r="A6" s="1">
        <v>1</v>
      </c>
      <c r="B6" s="16" t="s">
        <v>24</v>
      </c>
      <c r="C6" s="6"/>
      <c r="D6" s="17" t="s">
        <v>25</v>
      </c>
      <c r="E6" s="6"/>
      <c r="F6" s="17" t="s">
        <v>25</v>
      </c>
      <c r="G6" s="6"/>
      <c r="H6" s="16"/>
      <c r="I6" s="122" t="s">
        <v>492</v>
      </c>
    </row>
    <row r="7" spans="1:9" ht="15.75" x14ac:dyDescent="0.25">
      <c r="A7" s="1">
        <v>2</v>
      </c>
      <c r="B7" s="16" t="s">
        <v>26</v>
      </c>
      <c r="C7" s="6"/>
      <c r="D7" s="6"/>
      <c r="E7" s="6"/>
      <c r="F7" s="17" t="s">
        <v>25</v>
      </c>
      <c r="G7" s="6"/>
      <c r="H7" s="16"/>
      <c r="I7" s="122" t="s">
        <v>492</v>
      </c>
    </row>
    <row r="8" spans="1:9" ht="15.75" x14ac:dyDescent="0.25">
      <c r="A8" s="1">
        <v>3</v>
      </c>
      <c r="B8" s="16" t="s">
        <v>27</v>
      </c>
      <c r="C8" s="6"/>
      <c r="D8" s="6"/>
      <c r="E8" s="17" t="s">
        <v>25</v>
      </c>
      <c r="F8" s="6"/>
      <c r="G8" s="6"/>
      <c r="H8" s="16" t="s">
        <v>58</v>
      </c>
      <c r="I8" s="122" t="s">
        <v>492</v>
      </c>
    </row>
    <row r="9" spans="1:9" ht="15.75" x14ac:dyDescent="0.25">
      <c r="A9" s="1">
        <v>4</v>
      </c>
      <c r="B9" s="16" t="s">
        <v>28</v>
      </c>
      <c r="C9" s="17" t="s">
        <v>25</v>
      </c>
      <c r="D9" s="17" t="s">
        <v>25</v>
      </c>
      <c r="E9" s="6"/>
      <c r="F9" s="6"/>
      <c r="G9" s="6"/>
      <c r="H9" s="16"/>
      <c r="I9" s="122" t="s">
        <v>492</v>
      </c>
    </row>
    <row r="10" spans="1:9" ht="15.75" x14ac:dyDescent="0.25">
      <c r="A10" s="1">
        <v>5</v>
      </c>
      <c r="B10" s="16" t="s">
        <v>29</v>
      </c>
      <c r="C10" s="6"/>
      <c r="D10" s="17" t="s">
        <v>25</v>
      </c>
      <c r="E10" s="6"/>
      <c r="F10" s="6"/>
      <c r="G10" s="6"/>
      <c r="H10" s="16"/>
      <c r="I10" s="122" t="s">
        <v>492</v>
      </c>
    </row>
    <row r="11" spans="1:9" ht="15.75" x14ac:dyDescent="0.25">
      <c r="A11" s="1">
        <v>6</v>
      </c>
      <c r="B11" s="16" t="s">
        <v>30</v>
      </c>
      <c r="C11" s="6"/>
      <c r="D11" s="17" t="s">
        <v>25</v>
      </c>
      <c r="E11" s="17" t="s">
        <v>25</v>
      </c>
      <c r="F11" s="6"/>
      <c r="G11" s="6"/>
      <c r="H11" s="16" t="s">
        <v>59</v>
      </c>
      <c r="I11" s="122" t="s">
        <v>492</v>
      </c>
    </row>
    <row r="12" spans="1:9" ht="15.75" x14ac:dyDescent="0.25">
      <c r="A12" s="1">
        <v>7</v>
      </c>
      <c r="B12" s="16" t="s">
        <v>31</v>
      </c>
      <c r="C12" s="17" t="s">
        <v>25</v>
      </c>
      <c r="D12" s="17" t="s">
        <v>25</v>
      </c>
      <c r="E12" s="17" t="s">
        <v>25</v>
      </c>
      <c r="F12" s="6"/>
      <c r="G12" s="6"/>
      <c r="H12" s="16"/>
      <c r="I12" s="122" t="s">
        <v>492</v>
      </c>
    </row>
    <row r="13" spans="1:9" ht="15.75" x14ac:dyDescent="0.25">
      <c r="A13" s="1">
        <v>8</v>
      </c>
      <c r="B13" s="16" t="s">
        <v>32</v>
      </c>
      <c r="C13" s="6"/>
      <c r="D13" s="17" t="s">
        <v>25</v>
      </c>
      <c r="E13" s="6"/>
      <c r="F13" s="17" t="s">
        <v>25</v>
      </c>
      <c r="G13" s="17" t="s">
        <v>25</v>
      </c>
      <c r="H13" s="16" t="s">
        <v>60</v>
      </c>
      <c r="I13" s="122" t="s">
        <v>492</v>
      </c>
    </row>
    <row r="14" spans="1:9" ht="15.75" x14ac:dyDescent="0.25">
      <c r="A14" s="1">
        <v>9</v>
      </c>
      <c r="B14" s="16" t="s">
        <v>486</v>
      </c>
      <c r="C14" s="6"/>
      <c r="D14" s="6"/>
      <c r="E14" s="6"/>
      <c r="F14" s="6"/>
      <c r="G14" s="17" t="s">
        <v>25</v>
      </c>
      <c r="H14" s="16" t="s">
        <v>61</v>
      </c>
      <c r="I14" s="122" t="s">
        <v>492</v>
      </c>
    </row>
    <row r="15" spans="1:9" ht="15.75" x14ac:dyDescent="0.25">
      <c r="A15" s="1">
        <v>10</v>
      </c>
      <c r="B15" s="16" t="s">
        <v>33</v>
      </c>
      <c r="C15" s="17" t="s">
        <v>25</v>
      </c>
      <c r="D15" s="17" t="s">
        <v>25</v>
      </c>
      <c r="E15" s="17" t="s">
        <v>25</v>
      </c>
      <c r="F15" s="17" t="s">
        <v>25</v>
      </c>
      <c r="G15" s="17" t="s">
        <v>25</v>
      </c>
      <c r="H15" s="16"/>
      <c r="I15" s="122" t="s">
        <v>492</v>
      </c>
    </row>
    <row r="16" spans="1:9" ht="15.75" x14ac:dyDescent="0.25">
      <c r="A16" s="1">
        <v>11</v>
      </c>
      <c r="B16" s="16" t="s">
        <v>34</v>
      </c>
      <c r="C16" s="17" t="s">
        <v>25</v>
      </c>
      <c r="D16" s="6"/>
      <c r="E16" s="6"/>
      <c r="F16" s="17" t="s">
        <v>25</v>
      </c>
      <c r="G16" s="17" t="s">
        <v>25</v>
      </c>
      <c r="H16" s="16"/>
      <c r="I16" s="122" t="s">
        <v>492</v>
      </c>
    </row>
    <row r="17" spans="1:9" ht="15.75" x14ac:dyDescent="0.25">
      <c r="A17" s="1">
        <v>12</v>
      </c>
      <c r="B17" s="16" t="s">
        <v>35</v>
      </c>
      <c r="C17" s="17" t="s">
        <v>25</v>
      </c>
      <c r="D17" s="6"/>
      <c r="E17" s="17" t="s">
        <v>25</v>
      </c>
      <c r="F17" s="6"/>
      <c r="G17" s="6"/>
      <c r="H17" s="16" t="s">
        <v>62</v>
      </c>
      <c r="I17" s="122" t="s">
        <v>492</v>
      </c>
    </row>
    <row r="18" spans="1:9" ht="15.75" x14ac:dyDescent="0.25">
      <c r="A18" s="1">
        <v>13</v>
      </c>
      <c r="B18" s="16" t="s">
        <v>36</v>
      </c>
      <c r="C18" s="6"/>
      <c r="D18" s="17" t="s">
        <v>25</v>
      </c>
      <c r="E18" s="6"/>
      <c r="F18" s="6"/>
      <c r="G18" s="6"/>
      <c r="H18" s="16" t="s">
        <v>63</v>
      </c>
      <c r="I18" s="122" t="s">
        <v>492</v>
      </c>
    </row>
    <row r="19" spans="1:9" ht="15.75" x14ac:dyDescent="0.25">
      <c r="A19" s="1">
        <v>14</v>
      </c>
      <c r="B19" s="16" t="s">
        <v>37</v>
      </c>
      <c r="C19" s="6"/>
      <c r="D19" s="17" t="s">
        <v>25</v>
      </c>
      <c r="E19" s="6"/>
      <c r="F19" s="6"/>
      <c r="G19" s="6"/>
      <c r="H19" s="16" t="s">
        <v>64</v>
      </c>
      <c r="I19" s="122" t="s">
        <v>492</v>
      </c>
    </row>
    <row r="20" spans="1:9" ht="15.75" x14ac:dyDescent="0.25">
      <c r="A20" s="1">
        <v>15</v>
      </c>
      <c r="B20" s="16" t="s">
        <v>40</v>
      </c>
      <c r="C20" s="6"/>
      <c r="D20" s="6"/>
      <c r="E20" s="17" t="s">
        <v>25</v>
      </c>
      <c r="F20" s="17" t="s">
        <v>25</v>
      </c>
      <c r="G20" s="6"/>
      <c r="H20" s="16" t="s">
        <v>65</v>
      </c>
      <c r="I20" s="122" t="s">
        <v>492</v>
      </c>
    </row>
    <row r="21" spans="1:9" ht="15.75" x14ac:dyDescent="0.25">
      <c r="A21" s="1">
        <v>16</v>
      </c>
      <c r="B21" s="16" t="s">
        <v>38</v>
      </c>
      <c r="C21" s="6"/>
      <c r="D21" s="17" t="s">
        <v>25</v>
      </c>
      <c r="E21" s="17" t="s">
        <v>25</v>
      </c>
      <c r="F21" s="6"/>
      <c r="G21" s="6"/>
      <c r="H21" s="16"/>
      <c r="I21" s="122" t="s">
        <v>492</v>
      </c>
    </row>
    <row r="22" spans="1:9" ht="15.75" x14ac:dyDescent="0.25">
      <c r="A22" s="1">
        <v>17</v>
      </c>
      <c r="B22" s="16" t="s">
        <v>39</v>
      </c>
      <c r="C22" s="6"/>
      <c r="D22" s="6"/>
      <c r="E22" s="17" t="s">
        <v>25</v>
      </c>
      <c r="F22" s="6"/>
      <c r="G22" s="6"/>
      <c r="H22" s="16"/>
      <c r="I22" s="122" t="s">
        <v>492</v>
      </c>
    </row>
    <row r="23" spans="1:9" ht="15.75" x14ac:dyDescent="0.25">
      <c r="A23" s="1">
        <v>18</v>
      </c>
      <c r="B23" s="16" t="s">
        <v>41</v>
      </c>
      <c r="C23" s="6"/>
      <c r="D23" s="17" t="s">
        <v>25</v>
      </c>
      <c r="E23" s="17" t="s">
        <v>25</v>
      </c>
      <c r="F23" s="6"/>
      <c r="G23" s="6"/>
      <c r="H23" s="16"/>
      <c r="I23" s="122" t="s">
        <v>492</v>
      </c>
    </row>
    <row r="24" spans="1:9" x14ac:dyDescent="0.25">
      <c r="A24" s="1">
        <v>19</v>
      </c>
      <c r="B24" s="16" t="s">
        <v>42</v>
      </c>
      <c r="C24" s="6"/>
      <c r="D24" s="6"/>
      <c r="E24" s="17" t="s">
        <v>25</v>
      </c>
      <c r="F24" s="17" t="s">
        <v>25</v>
      </c>
      <c r="G24" s="6"/>
      <c r="H24" s="16"/>
    </row>
    <row r="25" spans="1:9" x14ac:dyDescent="0.25">
      <c r="A25" s="1">
        <v>20</v>
      </c>
      <c r="B25" s="16" t="s">
        <v>43</v>
      </c>
      <c r="C25" s="6"/>
      <c r="D25" s="17" t="s">
        <v>25</v>
      </c>
      <c r="E25" s="6"/>
      <c r="F25" s="6"/>
      <c r="G25" s="6"/>
      <c r="H25" s="16" t="s">
        <v>66</v>
      </c>
    </row>
    <row r="26" spans="1:9" x14ac:dyDescent="0.25">
      <c r="A26" s="1">
        <v>21</v>
      </c>
      <c r="B26" s="16" t="s">
        <v>44</v>
      </c>
      <c r="C26" s="6"/>
      <c r="D26" s="17" t="s">
        <v>25</v>
      </c>
      <c r="E26" s="17" t="s">
        <v>25</v>
      </c>
      <c r="F26" s="6"/>
      <c r="G26" s="6"/>
      <c r="H26" s="16"/>
    </row>
    <row r="27" spans="1:9" x14ac:dyDescent="0.25">
      <c r="A27" s="1">
        <v>22</v>
      </c>
      <c r="B27" s="16" t="s">
        <v>45</v>
      </c>
      <c r="C27" s="6"/>
      <c r="D27" s="17" t="s">
        <v>25</v>
      </c>
      <c r="E27" s="17" t="s">
        <v>25</v>
      </c>
      <c r="F27" s="6"/>
      <c r="G27" s="6"/>
      <c r="H27" s="16"/>
    </row>
    <row r="28" spans="1:9" x14ac:dyDescent="0.25">
      <c r="A28" s="1">
        <v>23</v>
      </c>
      <c r="B28" s="16" t="s">
        <v>46</v>
      </c>
      <c r="C28" s="6"/>
      <c r="D28" s="17" t="s">
        <v>25</v>
      </c>
      <c r="E28" s="17" t="s">
        <v>25</v>
      </c>
      <c r="F28" s="17" t="s">
        <v>25</v>
      </c>
      <c r="G28" s="17" t="s">
        <v>25</v>
      </c>
      <c r="H28" s="16" t="s">
        <v>67</v>
      </c>
    </row>
    <row r="29" spans="1:9" x14ac:dyDescent="0.25">
      <c r="A29" s="1">
        <v>24</v>
      </c>
      <c r="B29" s="16" t="s">
        <v>47</v>
      </c>
      <c r="C29" s="17" t="s">
        <v>25</v>
      </c>
      <c r="D29" s="6"/>
      <c r="E29" s="17" t="s">
        <v>25</v>
      </c>
      <c r="F29" s="6"/>
      <c r="G29" s="6"/>
      <c r="H29" s="16"/>
    </row>
    <row r="30" spans="1:9" x14ac:dyDescent="0.25">
      <c r="A30" s="1">
        <v>25</v>
      </c>
      <c r="B30" s="16" t="s">
        <v>48</v>
      </c>
      <c r="C30" s="6"/>
      <c r="D30" s="6"/>
      <c r="E30" s="17" t="s">
        <v>25</v>
      </c>
      <c r="F30" s="6"/>
      <c r="G30" s="6"/>
      <c r="H30" s="16"/>
    </row>
    <row r="31" spans="1:9" x14ac:dyDescent="0.25">
      <c r="A31" s="1">
        <v>26</v>
      </c>
      <c r="B31" s="16" t="s">
        <v>49</v>
      </c>
      <c r="C31" s="17" t="s">
        <v>25</v>
      </c>
      <c r="D31" s="6"/>
      <c r="E31" s="6"/>
      <c r="F31" s="6"/>
      <c r="G31" s="17" t="s">
        <v>25</v>
      </c>
      <c r="H31" s="16"/>
    </row>
    <row r="32" spans="1:9" x14ac:dyDescent="0.25">
      <c r="A32" s="1">
        <v>27</v>
      </c>
      <c r="B32" s="16" t="s">
        <v>50</v>
      </c>
      <c r="C32" s="6"/>
      <c r="D32" s="17" t="s">
        <v>25</v>
      </c>
      <c r="E32" s="17" t="s">
        <v>25</v>
      </c>
      <c r="F32" s="17" t="s">
        <v>25</v>
      </c>
      <c r="G32" s="6"/>
      <c r="H32" s="16"/>
    </row>
    <row r="33" spans="1:8" x14ac:dyDescent="0.25">
      <c r="A33" s="1">
        <v>28</v>
      </c>
      <c r="B33" s="16" t="s">
        <v>51</v>
      </c>
      <c r="C33" s="6"/>
      <c r="D33" s="6"/>
      <c r="E33" s="6"/>
      <c r="F33" s="6"/>
      <c r="G33" s="17" t="s">
        <v>25</v>
      </c>
      <c r="H33" s="16" t="s">
        <v>68</v>
      </c>
    </row>
    <row r="34" spans="1:8" x14ac:dyDescent="0.25">
      <c r="A34" s="1">
        <v>29</v>
      </c>
      <c r="B34" s="16" t="s">
        <v>52</v>
      </c>
      <c r="C34" s="17" t="s">
        <v>25</v>
      </c>
      <c r="D34" s="6"/>
      <c r="E34" s="6"/>
      <c r="F34" s="6"/>
      <c r="G34" s="6"/>
      <c r="H34" s="16"/>
    </row>
    <row r="35" spans="1:8" x14ac:dyDescent="0.25">
      <c r="A35" s="1">
        <v>30</v>
      </c>
      <c r="B35" s="16" t="s">
        <v>53</v>
      </c>
      <c r="C35" s="6"/>
      <c r="D35" s="6"/>
      <c r="E35" s="17" t="s">
        <v>25</v>
      </c>
      <c r="F35" s="17" t="s">
        <v>25</v>
      </c>
      <c r="G35" s="6"/>
      <c r="H35" s="16"/>
    </row>
    <row r="36" spans="1:8" x14ac:dyDescent="0.25">
      <c r="A36" s="1">
        <v>31</v>
      </c>
      <c r="B36" s="16" t="s">
        <v>54</v>
      </c>
      <c r="C36" s="6"/>
      <c r="D36" s="6"/>
      <c r="E36" s="6"/>
      <c r="F36" s="17" t="s">
        <v>25</v>
      </c>
      <c r="G36" s="6"/>
      <c r="H36" s="16" t="s">
        <v>69</v>
      </c>
    </row>
    <row r="37" spans="1:8" x14ac:dyDescent="0.25">
      <c r="A37" s="1">
        <v>32</v>
      </c>
      <c r="B37" s="16" t="s">
        <v>55</v>
      </c>
      <c r="C37" s="6"/>
      <c r="D37" s="6"/>
      <c r="E37" s="17" t="s">
        <v>25</v>
      </c>
      <c r="F37" s="6"/>
      <c r="G37" s="6"/>
      <c r="H37" s="16" t="s">
        <v>70</v>
      </c>
    </row>
    <row r="38" spans="1:8" x14ac:dyDescent="0.25">
      <c r="A38" s="1">
        <v>33</v>
      </c>
      <c r="B38" s="16" t="s">
        <v>56</v>
      </c>
      <c r="C38" s="6"/>
      <c r="D38" s="17" t="s">
        <v>25</v>
      </c>
      <c r="E38" s="6"/>
      <c r="F38" s="6"/>
      <c r="G38" s="6"/>
      <c r="H38" s="16" t="s">
        <v>71</v>
      </c>
    </row>
    <row r="39" spans="1:8" x14ac:dyDescent="0.25">
      <c r="A39" s="1">
        <v>34</v>
      </c>
      <c r="B39" s="16" t="s">
        <v>57</v>
      </c>
      <c r="C39" s="6"/>
      <c r="D39" s="6"/>
      <c r="E39" s="17" t="s">
        <v>25</v>
      </c>
      <c r="F39" s="6"/>
      <c r="G39" s="6"/>
      <c r="H39" s="16" t="s">
        <v>72</v>
      </c>
    </row>
    <row r="40" spans="1:8" x14ac:dyDescent="0.25">
      <c r="A40" s="1">
        <v>35</v>
      </c>
      <c r="B40" s="16" t="s">
        <v>139</v>
      </c>
      <c r="C40" s="6"/>
      <c r="D40" s="6"/>
      <c r="E40" s="6"/>
      <c r="F40" s="6"/>
      <c r="G40" s="17" t="s">
        <v>25</v>
      </c>
      <c r="H40" s="16" t="s">
        <v>140</v>
      </c>
    </row>
    <row r="41" spans="1:8" x14ac:dyDescent="0.25">
      <c r="A41" s="1">
        <v>36</v>
      </c>
      <c r="B41" s="16" t="s">
        <v>141</v>
      </c>
      <c r="C41" s="17" t="s">
        <v>25</v>
      </c>
      <c r="D41" s="6"/>
      <c r="E41" s="6"/>
      <c r="F41" s="6"/>
      <c r="G41" s="17" t="s">
        <v>25</v>
      </c>
      <c r="H41" s="16" t="s">
        <v>142</v>
      </c>
    </row>
  </sheetData>
  <mergeCells count="1">
    <mergeCell ref="C4:G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D78"/>
  <sheetViews>
    <sheetView zoomScale="120" zoomScaleNormal="120" workbookViewId="0">
      <pane ySplit="8" topLeftCell="A9" activePane="bottomLeft" state="frozen"/>
      <selection pane="bottomLeft" activeCell="A75" sqref="A75"/>
    </sheetView>
  </sheetViews>
  <sheetFormatPr baseColWidth="10" defaultColWidth="11.42578125" defaultRowHeight="15" x14ac:dyDescent="0.25"/>
  <cols>
    <col min="1" max="1" width="12.140625" style="19" customWidth="1"/>
    <col min="2" max="2" width="27.42578125" style="19" customWidth="1"/>
    <col min="3" max="3" width="39.42578125" style="19" customWidth="1"/>
    <col min="4" max="4" width="65.42578125" style="19" bestFit="1" customWidth="1"/>
    <col min="5" max="16384" width="11.42578125" style="19"/>
  </cols>
  <sheetData>
    <row r="7" spans="1:4" x14ac:dyDescent="0.25">
      <c r="A7" s="20" t="s">
        <v>78</v>
      </c>
    </row>
    <row r="8" spans="1:4" x14ac:dyDescent="0.25">
      <c r="A8" s="24" t="s">
        <v>75</v>
      </c>
      <c r="B8" s="24" t="s">
        <v>73</v>
      </c>
      <c r="C8" s="24" t="s">
        <v>21</v>
      </c>
      <c r="D8" s="24" t="s">
        <v>74</v>
      </c>
    </row>
    <row r="9" spans="1:4" x14ac:dyDescent="0.25">
      <c r="A9" s="65" t="s">
        <v>109</v>
      </c>
      <c r="B9" s="22" t="s">
        <v>76</v>
      </c>
      <c r="C9" s="22" t="s">
        <v>301</v>
      </c>
      <c r="D9" s="22" t="s">
        <v>77</v>
      </c>
    </row>
    <row r="10" spans="1:4" x14ac:dyDescent="0.25">
      <c r="A10" s="65"/>
      <c r="B10" s="22"/>
      <c r="C10" s="22" t="s">
        <v>81</v>
      </c>
      <c r="D10" s="22" t="s">
        <v>82</v>
      </c>
    </row>
    <row r="11" spans="1:4" ht="30" x14ac:dyDescent="0.25">
      <c r="A11" s="65"/>
      <c r="B11" s="22" t="s">
        <v>79</v>
      </c>
      <c r="C11" s="22" t="s">
        <v>80</v>
      </c>
      <c r="D11" s="22" t="s">
        <v>83</v>
      </c>
    </row>
    <row r="12" spans="1:4" x14ac:dyDescent="0.25">
      <c r="A12" s="65"/>
      <c r="B12" s="22" t="s">
        <v>84</v>
      </c>
      <c r="C12" s="22" t="s">
        <v>85</v>
      </c>
      <c r="D12" s="22" t="s">
        <v>86</v>
      </c>
    </row>
    <row r="13" spans="1:4" ht="45" x14ac:dyDescent="0.25">
      <c r="A13" s="65"/>
      <c r="B13" s="22"/>
      <c r="C13" s="22" t="s">
        <v>87</v>
      </c>
      <c r="D13" s="22" t="s">
        <v>88</v>
      </c>
    </row>
    <row r="14" spans="1:4" ht="30" x14ac:dyDescent="0.25">
      <c r="A14" s="65"/>
      <c r="B14" s="22"/>
      <c r="C14" s="22" t="s">
        <v>89</v>
      </c>
      <c r="D14" s="22" t="s">
        <v>90</v>
      </c>
    </row>
    <row r="15" spans="1:4" ht="30" x14ac:dyDescent="0.25">
      <c r="A15" s="66" t="s">
        <v>110</v>
      </c>
      <c r="B15" s="23" t="s">
        <v>91</v>
      </c>
      <c r="C15" s="23" t="s">
        <v>92</v>
      </c>
      <c r="D15" s="23" t="s">
        <v>93</v>
      </c>
    </row>
    <row r="16" spans="1:4" ht="30" x14ac:dyDescent="0.25">
      <c r="A16" s="66"/>
      <c r="B16" s="23" t="s">
        <v>94</v>
      </c>
      <c r="C16" s="23" t="s">
        <v>95</v>
      </c>
      <c r="D16" s="23" t="s">
        <v>96</v>
      </c>
    </row>
    <row r="17" spans="1:4" ht="60" x14ac:dyDescent="0.25">
      <c r="A17" s="66"/>
      <c r="B17" s="23" t="s">
        <v>97</v>
      </c>
      <c r="C17" s="23" t="s">
        <v>98</v>
      </c>
      <c r="D17" s="23" t="s">
        <v>99</v>
      </c>
    </row>
    <row r="18" spans="1:4" ht="45" x14ac:dyDescent="0.25">
      <c r="A18" s="66"/>
      <c r="B18" s="23" t="s">
        <v>100</v>
      </c>
      <c r="C18" s="23" t="s">
        <v>108</v>
      </c>
      <c r="D18" s="23" t="s">
        <v>101</v>
      </c>
    </row>
    <row r="19" spans="1:4" ht="45" x14ac:dyDescent="0.25">
      <c r="A19" s="66"/>
      <c r="B19" s="23" t="s">
        <v>102</v>
      </c>
      <c r="C19" s="23" t="s">
        <v>103</v>
      </c>
      <c r="D19" s="23" t="s">
        <v>104</v>
      </c>
    </row>
    <row r="20" spans="1:4" ht="60" x14ac:dyDescent="0.25">
      <c r="A20" s="66"/>
      <c r="B20" s="23" t="s">
        <v>107</v>
      </c>
      <c r="C20" s="23" t="s">
        <v>106</v>
      </c>
      <c r="D20" s="23" t="s">
        <v>105</v>
      </c>
    </row>
    <row r="21" spans="1:4" ht="90" x14ac:dyDescent="0.25">
      <c r="A21" s="25" t="s">
        <v>111</v>
      </c>
      <c r="B21" s="22" t="s">
        <v>112</v>
      </c>
      <c r="C21" s="22" t="s">
        <v>114</v>
      </c>
      <c r="D21" s="22" t="s">
        <v>113</v>
      </c>
    </row>
    <row r="22" spans="1:4" ht="90" x14ac:dyDescent="0.25">
      <c r="A22" s="26" t="s">
        <v>115</v>
      </c>
      <c r="B22" s="23" t="s">
        <v>302</v>
      </c>
      <c r="C22" s="23" t="s">
        <v>296</v>
      </c>
      <c r="D22" s="23" t="s">
        <v>116</v>
      </c>
    </row>
    <row r="23" spans="1:4" ht="90" x14ac:dyDescent="0.25">
      <c r="A23" s="25" t="s">
        <v>117</v>
      </c>
      <c r="B23" s="22" t="s">
        <v>118</v>
      </c>
      <c r="C23" s="22" t="s">
        <v>292</v>
      </c>
      <c r="D23" s="22" t="s">
        <v>119</v>
      </c>
    </row>
    <row r="24" spans="1:4" x14ac:dyDescent="0.25">
      <c r="A24" s="21"/>
      <c r="B24" s="21"/>
      <c r="C24" s="21"/>
      <c r="D24" s="21"/>
    </row>
    <row r="25" spans="1:4" x14ac:dyDescent="0.25">
      <c r="A25" s="21"/>
      <c r="B25" s="21"/>
      <c r="C25" s="21"/>
      <c r="D25" s="21"/>
    </row>
    <row r="26" spans="1:4" x14ac:dyDescent="0.25">
      <c r="A26" s="28" t="s">
        <v>120</v>
      </c>
      <c r="B26" s="21"/>
      <c r="C26" s="21"/>
      <c r="D26" s="21"/>
    </row>
    <row r="27" spans="1:4" x14ac:dyDescent="0.25">
      <c r="A27" s="27" t="s">
        <v>121</v>
      </c>
      <c r="B27" s="27"/>
      <c r="C27" s="27"/>
      <c r="D27" s="21"/>
    </row>
    <row r="28" spans="1:4" x14ac:dyDescent="0.25">
      <c r="A28" s="27" t="s">
        <v>122</v>
      </c>
      <c r="B28" s="27"/>
      <c r="C28" s="27"/>
      <c r="D28" s="21"/>
    </row>
    <row r="29" spans="1:4" x14ac:dyDescent="0.25">
      <c r="A29" s="27" t="s">
        <v>484</v>
      </c>
      <c r="B29" s="27"/>
      <c r="C29" s="27"/>
      <c r="D29" s="21"/>
    </row>
    <row r="30" spans="1:4" x14ac:dyDescent="0.25">
      <c r="A30" s="27" t="s">
        <v>123</v>
      </c>
      <c r="B30" s="27"/>
      <c r="C30" s="27"/>
      <c r="D30" s="21"/>
    </row>
    <row r="31" spans="1:4" x14ac:dyDescent="0.25">
      <c r="A31" s="27" t="s">
        <v>124</v>
      </c>
      <c r="B31" s="27"/>
      <c r="C31" s="27"/>
      <c r="D31" s="21"/>
    </row>
    <row r="32" spans="1:4" x14ac:dyDescent="0.25">
      <c r="A32" s="27" t="s">
        <v>125</v>
      </c>
      <c r="B32" s="27"/>
      <c r="C32" s="27"/>
      <c r="D32" s="21"/>
    </row>
    <row r="34" spans="1:3" x14ac:dyDescent="0.25">
      <c r="A34" s="20" t="s">
        <v>126</v>
      </c>
    </row>
    <row r="35" spans="1:3" x14ac:dyDescent="0.25">
      <c r="A35" s="19" t="s">
        <v>127</v>
      </c>
      <c r="B35" s="19" t="s">
        <v>128</v>
      </c>
    </row>
    <row r="36" spans="1:3" x14ac:dyDescent="0.25">
      <c r="A36" s="19" t="s">
        <v>129</v>
      </c>
      <c r="C36" s="19" t="s">
        <v>130</v>
      </c>
    </row>
    <row r="37" spans="1:3" x14ac:dyDescent="0.25">
      <c r="A37" s="19" t="s">
        <v>131</v>
      </c>
      <c r="C37" s="19" t="s">
        <v>132</v>
      </c>
    </row>
    <row r="39" spans="1:3" x14ac:dyDescent="0.25">
      <c r="A39" s="19" t="s">
        <v>133</v>
      </c>
    </row>
    <row r="40" spans="1:3" x14ac:dyDescent="0.25">
      <c r="A40" s="19" t="s">
        <v>134</v>
      </c>
    </row>
    <row r="42" spans="1:3" x14ac:dyDescent="0.25">
      <c r="A42" s="20" t="s">
        <v>135</v>
      </c>
    </row>
    <row r="43" spans="1:3" x14ac:dyDescent="0.25">
      <c r="A43" s="19" t="s">
        <v>136</v>
      </c>
    </row>
    <row r="44" spans="1:3" x14ac:dyDescent="0.25">
      <c r="A44" s="19" t="s">
        <v>137</v>
      </c>
    </row>
    <row r="45" spans="1:3" x14ac:dyDescent="0.25">
      <c r="A45" s="19" t="s">
        <v>138</v>
      </c>
    </row>
    <row r="47" spans="1:3" x14ac:dyDescent="0.25">
      <c r="A47" s="20" t="s">
        <v>232</v>
      </c>
    </row>
    <row r="48" spans="1:3" x14ac:dyDescent="0.25">
      <c r="A48" s="19" t="s">
        <v>233</v>
      </c>
    </row>
    <row r="49" spans="1:1" x14ac:dyDescent="0.25">
      <c r="A49" s="19" t="s">
        <v>303</v>
      </c>
    </row>
    <row r="50" spans="1:1" x14ac:dyDescent="0.25">
      <c r="A50" s="19" t="s">
        <v>234</v>
      </c>
    </row>
    <row r="51" spans="1:1" x14ac:dyDescent="0.25">
      <c r="A51" s="19" t="s">
        <v>235</v>
      </c>
    </row>
    <row r="52" spans="1:1" x14ac:dyDescent="0.25">
      <c r="A52" s="19" t="s">
        <v>236</v>
      </c>
    </row>
    <row r="54" spans="1:1" x14ac:dyDescent="0.25">
      <c r="A54" s="20" t="s">
        <v>237</v>
      </c>
    </row>
    <row r="55" spans="1:1" x14ac:dyDescent="0.25">
      <c r="A55" s="19" t="s">
        <v>238</v>
      </c>
    </row>
    <row r="56" spans="1:1" x14ac:dyDescent="0.25">
      <c r="A56" s="19" t="s">
        <v>239</v>
      </c>
    </row>
    <row r="57" spans="1:1" x14ac:dyDescent="0.25">
      <c r="A57" s="19" t="s">
        <v>240</v>
      </c>
    </row>
    <row r="58" spans="1:1" x14ac:dyDescent="0.25">
      <c r="A58" s="19" t="s">
        <v>241</v>
      </c>
    </row>
    <row r="59" spans="1:1" x14ac:dyDescent="0.25">
      <c r="A59" s="19" t="s">
        <v>242</v>
      </c>
    </row>
    <row r="60" spans="1:1" x14ac:dyDescent="0.25">
      <c r="A60" s="19" t="s">
        <v>243</v>
      </c>
    </row>
    <row r="61" spans="1:1" x14ac:dyDescent="0.25">
      <c r="A61" s="19" t="s">
        <v>244</v>
      </c>
    </row>
    <row r="62" spans="1:1" x14ac:dyDescent="0.25">
      <c r="A62" s="19" t="s">
        <v>245</v>
      </c>
    </row>
    <row r="63" spans="1:1" x14ac:dyDescent="0.25">
      <c r="A63" s="19" t="s">
        <v>246</v>
      </c>
    </row>
    <row r="64" spans="1:1" x14ac:dyDescent="0.25">
      <c r="A64" s="19" t="s">
        <v>247</v>
      </c>
    </row>
    <row r="66" spans="1:1" x14ac:dyDescent="0.25">
      <c r="A66" s="20" t="s">
        <v>248</v>
      </c>
    </row>
    <row r="67" spans="1:1" x14ac:dyDescent="0.25">
      <c r="A67" s="19" t="s">
        <v>249</v>
      </c>
    </row>
    <row r="68" spans="1:1" x14ac:dyDescent="0.25">
      <c r="A68" s="19" t="s">
        <v>250</v>
      </c>
    </row>
    <row r="69" spans="1:1" x14ac:dyDescent="0.25">
      <c r="A69" s="19" t="s">
        <v>251</v>
      </c>
    </row>
    <row r="70" spans="1:1" x14ac:dyDescent="0.25">
      <c r="A70" s="19" t="s">
        <v>252</v>
      </c>
    </row>
    <row r="71" spans="1:1" x14ac:dyDescent="0.25">
      <c r="A71" s="19" t="s">
        <v>253</v>
      </c>
    </row>
    <row r="72" spans="1:1" x14ac:dyDescent="0.25">
      <c r="A72" s="19" t="s">
        <v>254</v>
      </c>
    </row>
    <row r="73" spans="1:1" x14ac:dyDescent="0.25">
      <c r="A73" s="19" t="s">
        <v>255</v>
      </c>
    </row>
    <row r="74" spans="1:1" x14ac:dyDescent="0.25">
      <c r="A74" s="19" t="s">
        <v>256</v>
      </c>
    </row>
    <row r="75" spans="1:1" x14ac:dyDescent="0.25">
      <c r="A75" s="19" t="s">
        <v>257</v>
      </c>
    </row>
    <row r="76" spans="1:1" x14ac:dyDescent="0.25">
      <c r="A76" s="19" t="s">
        <v>258</v>
      </c>
    </row>
    <row r="77" spans="1:1" x14ac:dyDescent="0.25">
      <c r="A77" s="19" t="s">
        <v>259</v>
      </c>
    </row>
    <row r="78" spans="1:1" x14ac:dyDescent="0.25">
      <c r="A78" s="19" t="s">
        <v>20</v>
      </c>
    </row>
  </sheetData>
  <mergeCells count="2">
    <mergeCell ref="A9:A14"/>
    <mergeCell ref="A15:A20"/>
  </mergeCells>
  <printOptions horizontalCentered="1"/>
  <pageMargins left="0" right="0" top="0" bottom="0" header="0" footer="0"/>
  <pageSetup paperSize="9" scale="8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7EDE-0D9E-4B7D-BB20-A8F8B40B7F52}">
  <dimension ref="A1"/>
  <sheetViews>
    <sheetView zoomScale="95" zoomScaleNormal="95" workbookViewId="0">
      <selection activeCell="A13" sqref="A13"/>
    </sheetView>
  </sheetViews>
  <sheetFormatPr baseColWidth="10" defaultColWidth="11.42578125" defaultRowHeight="15" x14ac:dyDescent="0.25"/>
  <cols>
    <col min="1" max="16384" width="11.42578125" style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AX31"/>
  <sheetViews>
    <sheetView zoomScale="150" zoomScaleNormal="150" workbookViewId="0">
      <selection activeCell="AF34" sqref="AF34"/>
    </sheetView>
  </sheetViews>
  <sheetFormatPr baseColWidth="10" defaultColWidth="11.42578125" defaultRowHeight="15" x14ac:dyDescent="0.25"/>
  <cols>
    <col min="1" max="1" width="12.7109375" style="1" customWidth="1"/>
    <col min="2" max="2" width="11.42578125" style="1"/>
    <col min="3" max="50" width="2" style="1" bestFit="1" customWidth="1"/>
    <col min="51" max="16384" width="11.42578125" style="1"/>
  </cols>
  <sheetData>
    <row r="5" spans="1:31" x14ac:dyDescent="0.25">
      <c r="AE5" s="1" t="s">
        <v>176</v>
      </c>
    </row>
    <row r="6" spans="1:31" x14ac:dyDescent="0.25">
      <c r="A6" s="1" t="s">
        <v>148</v>
      </c>
      <c r="AE6" s="1" t="s">
        <v>177</v>
      </c>
    </row>
    <row r="7" spans="1:31" x14ac:dyDescent="0.25">
      <c r="A7" s="1" t="s">
        <v>143</v>
      </c>
    </row>
    <row r="8" spans="1:31" x14ac:dyDescent="0.25">
      <c r="A8" s="1" t="s">
        <v>144</v>
      </c>
    </row>
    <row r="9" spans="1:31" x14ac:dyDescent="0.25">
      <c r="A9" s="1" t="s">
        <v>145</v>
      </c>
    </row>
    <row r="10" spans="1:31" x14ac:dyDescent="0.25">
      <c r="A10" s="1" t="s">
        <v>146</v>
      </c>
    </row>
    <row r="11" spans="1:31" x14ac:dyDescent="0.25">
      <c r="A11" s="1" t="s">
        <v>147</v>
      </c>
    </row>
    <row r="12" spans="1:31" x14ac:dyDescent="0.25">
      <c r="A12" s="1" t="s">
        <v>155</v>
      </c>
    </row>
    <row r="13" spans="1:31" x14ac:dyDescent="0.25">
      <c r="A13" s="1" t="s">
        <v>3</v>
      </c>
    </row>
    <row r="14" spans="1:31" x14ac:dyDescent="0.25">
      <c r="A14" s="1" t="s">
        <v>149</v>
      </c>
    </row>
    <row r="15" spans="1:31" x14ac:dyDescent="0.25">
      <c r="A15" s="1" t="s">
        <v>150</v>
      </c>
    </row>
    <row r="16" spans="1:31" x14ac:dyDescent="0.25">
      <c r="A16" s="1" t="s">
        <v>151</v>
      </c>
    </row>
    <row r="17" spans="1:50" x14ac:dyDescent="0.25">
      <c r="A17" s="1" t="s">
        <v>152</v>
      </c>
    </row>
    <row r="18" spans="1:50" x14ac:dyDescent="0.25">
      <c r="A18" s="1" t="s">
        <v>153</v>
      </c>
    </row>
    <row r="19" spans="1:50" x14ac:dyDescent="0.25">
      <c r="A19" s="1" t="s">
        <v>154</v>
      </c>
    </row>
    <row r="20" spans="1:50" x14ac:dyDescent="0.25">
      <c r="A20" s="69" t="s">
        <v>175</v>
      </c>
      <c r="B20" s="69"/>
      <c r="C20" s="71" t="s">
        <v>156</v>
      </c>
      <c r="D20" s="68"/>
      <c r="E20" s="68"/>
      <c r="F20" s="68"/>
      <c r="G20" s="68" t="s">
        <v>157</v>
      </c>
      <c r="H20" s="68"/>
      <c r="I20" s="68"/>
      <c r="J20" s="68"/>
      <c r="K20" s="68" t="s">
        <v>158</v>
      </c>
      <c r="L20" s="68"/>
      <c r="M20" s="68"/>
      <c r="N20" s="68"/>
      <c r="O20" s="68" t="s">
        <v>159</v>
      </c>
      <c r="P20" s="68"/>
      <c r="Q20" s="68"/>
      <c r="R20" s="68"/>
      <c r="S20" s="68" t="s">
        <v>160</v>
      </c>
      <c r="T20" s="68"/>
      <c r="U20" s="68"/>
      <c r="V20" s="68"/>
      <c r="W20" s="68" t="s">
        <v>161</v>
      </c>
      <c r="X20" s="68"/>
      <c r="Y20" s="68"/>
      <c r="Z20" s="68"/>
      <c r="AA20" s="68" t="s">
        <v>162</v>
      </c>
      <c r="AB20" s="68"/>
      <c r="AC20" s="68"/>
      <c r="AD20" s="68"/>
      <c r="AE20" s="68" t="s">
        <v>163</v>
      </c>
      <c r="AF20" s="68"/>
      <c r="AG20" s="68"/>
      <c r="AH20" s="68"/>
      <c r="AI20" s="68" t="s">
        <v>164</v>
      </c>
      <c r="AJ20" s="68"/>
      <c r="AK20" s="68"/>
      <c r="AL20" s="68"/>
      <c r="AM20" s="68" t="s">
        <v>165</v>
      </c>
      <c r="AN20" s="68"/>
      <c r="AO20" s="68"/>
      <c r="AP20" s="68"/>
      <c r="AQ20" s="68" t="s">
        <v>166</v>
      </c>
      <c r="AR20" s="68"/>
      <c r="AS20" s="68"/>
      <c r="AT20" s="68"/>
      <c r="AU20" s="68" t="s">
        <v>167</v>
      </c>
      <c r="AV20" s="68"/>
      <c r="AW20" s="68"/>
      <c r="AX20" s="68"/>
    </row>
    <row r="21" spans="1:50" x14ac:dyDescent="0.25">
      <c r="A21" s="69"/>
      <c r="B21" s="70"/>
      <c r="C21" s="30">
        <v>1</v>
      </c>
      <c r="D21" s="30">
        <v>2</v>
      </c>
      <c r="E21" s="30">
        <v>3</v>
      </c>
      <c r="F21" s="30">
        <v>4</v>
      </c>
      <c r="G21" s="30">
        <v>1</v>
      </c>
      <c r="H21" s="30">
        <v>2</v>
      </c>
      <c r="I21" s="30">
        <v>3</v>
      </c>
      <c r="J21" s="30">
        <v>4</v>
      </c>
      <c r="K21" s="30">
        <v>1</v>
      </c>
      <c r="L21" s="30">
        <v>2</v>
      </c>
      <c r="M21" s="30">
        <v>3</v>
      </c>
      <c r="N21" s="30">
        <v>4</v>
      </c>
      <c r="O21" s="30">
        <v>1</v>
      </c>
      <c r="P21" s="30">
        <v>2</v>
      </c>
      <c r="Q21" s="30">
        <v>3</v>
      </c>
      <c r="R21" s="30">
        <v>4</v>
      </c>
      <c r="S21" s="30">
        <v>1</v>
      </c>
      <c r="T21" s="30">
        <v>2</v>
      </c>
      <c r="U21" s="30">
        <v>3</v>
      </c>
      <c r="V21" s="30">
        <v>4</v>
      </c>
      <c r="W21" s="30">
        <v>1</v>
      </c>
      <c r="X21" s="30">
        <v>2</v>
      </c>
      <c r="Y21" s="30">
        <v>3</v>
      </c>
      <c r="Z21" s="30">
        <v>4</v>
      </c>
      <c r="AA21" s="30">
        <v>1</v>
      </c>
      <c r="AB21" s="30">
        <v>2</v>
      </c>
      <c r="AC21" s="30">
        <v>3</v>
      </c>
      <c r="AD21" s="30">
        <v>4</v>
      </c>
      <c r="AE21" s="30">
        <v>1</v>
      </c>
      <c r="AF21" s="30">
        <v>2</v>
      </c>
      <c r="AG21" s="30">
        <v>3</v>
      </c>
      <c r="AH21" s="30">
        <v>4</v>
      </c>
      <c r="AI21" s="30">
        <v>1</v>
      </c>
      <c r="AJ21" s="30">
        <v>2</v>
      </c>
      <c r="AK21" s="30">
        <v>3</v>
      </c>
      <c r="AL21" s="30">
        <v>4</v>
      </c>
      <c r="AM21" s="30">
        <v>1</v>
      </c>
      <c r="AN21" s="30">
        <v>2</v>
      </c>
      <c r="AO21" s="30">
        <v>3</v>
      </c>
      <c r="AP21" s="30">
        <v>4</v>
      </c>
      <c r="AQ21" s="30">
        <v>1</v>
      </c>
      <c r="AR21" s="30">
        <v>2</v>
      </c>
      <c r="AS21" s="30">
        <v>3</v>
      </c>
      <c r="AT21" s="30">
        <v>4</v>
      </c>
      <c r="AU21" s="30">
        <v>1</v>
      </c>
      <c r="AV21" s="30">
        <v>2</v>
      </c>
      <c r="AW21" s="30">
        <v>3</v>
      </c>
      <c r="AX21" s="30">
        <v>4</v>
      </c>
    </row>
    <row r="22" spans="1:50" x14ac:dyDescent="0.25">
      <c r="A22" s="67" t="s">
        <v>168</v>
      </c>
      <c r="B22" s="16" t="s">
        <v>173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spans="1:50" x14ac:dyDescent="0.25">
      <c r="A23" s="67"/>
      <c r="B23" s="31" t="s">
        <v>174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</row>
    <row r="24" spans="1:50" x14ac:dyDescent="0.25">
      <c r="A24" s="67" t="s">
        <v>169</v>
      </c>
      <c r="B24" s="16" t="s">
        <v>173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</row>
    <row r="25" spans="1:50" x14ac:dyDescent="0.25">
      <c r="A25" s="67"/>
      <c r="B25" s="31" t="s">
        <v>174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</row>
    <row r="26" spans="1:50" x14ac:dyDescent="0.25">
      <c r="A26" s="67" t="s">
        <v>170</v>
      </c>
      <c r="B26" s="16" t="s">
        <v>173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spans="1:50" x14ac:dyDescent="0.25">
      <c r="A27" s="67"/>
      <c r="B27" s="31" t="s">
        <v>174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</row>
    <row r="28" spans="1:50" x14ac:dyDescent="0.25">
      <c r="A28" s="67" t="s">
        <v>171</v>
      </c>
      <c r="B28" s="16" t="s">
        <v>173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 spans="1:50" x14ac:dyDescent="0.25">
      <c r="A29" s="67"/>
      <c r="B29" s="31" t="s">
        <v>174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</row>
    <row r="30" spans="1:50" x14ac:dyDescent="0.25">
      <c r="A30" s="67" t="s">
        <v>172</v>
      </c>
      <c r="B30" s="16" t="s">
        <v>173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spans="1:50" x14ac:dyDescent="0.25">
      <c r="A31" s="67"/>
      <c r="B31" s="31" t="s">
        <v>174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</row>
  </sheetData>
  <mergeCells count="18">
    <mergeCell ref="AQ20:AT20"/>
    <mergeCell ref="AU20:AX20"/>
    <mergeCell ref="C20:F20"/>
    <mergeCell ref="G20:J20"/>
    <mergeCell ref="K20:N20"/>
    <mergeCell ref="O20:R20"/>
    <mergeCell ref="S20:V20"/>
    <mergeCell ref="W20:Z20"/>
    <mergeCell ref="A30:A31"/>
    <mergeCell ref="AA20:AD20"/>
    <mergeCell ref="AE20:AH20"/>
    <mergeCell ref="AI20:AL20"/>
    <mergeCell ref="AM20:AP20"/>
    <mergeCell ref="A20:B21"/>
    <mergeCell ref="A22:A23"/>
    <mergeCell ref="A24:A25"/>
    <mergeCell ref="A26:A27"/>
    <mergeCell ref="A28:A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N164"/>
  <sheetViews>
    <sheetView zoomScale="120" zoomScaleNormal="120" workbookViewId="0">
      <selection activeCell="E137" sqref="E137"/>
    </sheetView>
  </sheetViews>
  <sheetFormatPr baseColWidth="10" defaultColWidth="11.42578125" defaultRowHeight="15" x14ac:dyDescent="0.25"/>
  <cols>
    <col min="1" max="1" width="13.28515625" style="1" customWidth="1"/>
    <col min="2" max="12" width="11.42578125" style="1"/>
    <col min="13" max="13" width="12.7109375" style="1" bestFit="1" customWidth="1"/>
    <col min="14" max="16384" width="11.42578125" style="1"/>
  </cols>
  <sheetData>
    <row r="5" spans="1:2" x14ac:dyDescent="0.25">
      <c r="A5" s="1" t="s">
        <v>178</v>
      </c>
    </row>
    <row r="6" spans="1:2" x14ac:dyDescent="0.25">
      <c r="A6" s="1" t="s">
        <v>179</v>
      </c>
    </row>
    <row r="7" spans="1:2" x14ac:dyDescent="0.25">
      <c r="A7" s="1" t="s">
        <v>180</v>
      </c>
    </row>
    <row r="8" spans="1:2" x14ac:dyDescent="0.25">
      <c r="A8" s="1" t="s">
        <v>181</v>
      </c>
    </row>
    <row r="9" spans="1:2" x14ac:dyDescent="0.25">
      <c r="A9" s="1" t="s">
        <v>182</v>
      </c>
    </row>
    <row r="10" spans="1:2" x14ac:dyDescent="0.25">
      <c r="A10" s="1" t="s">
        <v>183</v>
      </c>
    </row>
    <row r="12" spans="1:2" x14ac:dyDescent="0.25">
      <c r="A12" s="15" t="s">
        <v>184</v>
      </c>
      <c r="B12" s="1" t="s">
        <v>185</v>
      </c>
    </row>
    <row r="13" spans="1:2" x14ac:dyDescent="0.25">
      <c r="B13" s="1" t="s">
        <v>186</v>
      </c>
    </row>
    <row r="14" spans="1:2" x14ac:dyDescent="0.25">
      <c r="A14" s="15" t="s">
        <v>10</v>
      </c>
      <c r="B14" s="1" t="s">
        <v>187</v>
      </c>
    </row>
    <row r="15" spans="1:2" x14ac:dyDescent="0.25">
      <c r="B15" s="1" t="s">
        <v>188</v>
      </c>
    </row>
    <row r="74" spans="1:2" x14ac:dyDescent="0.25">
      <c r="A74" s="15" t="s">
        <v>189</v>
      </c>
      <c r="B74" s="1" t="s">
        <v>190</v>
      </c>
    </row>
    <row r="75" spans="1:2" x14ac:dyDescent="0.25">
      <c r="B75" s="1" t="s">
        <v>191</v>
      </c>
    </row>
    <row r="76" spans="1:2" x14ac:dyDescent="0.25">
      <c r="B76" s="1" t="s">
        <v>192</v>
      </c>
    </row>
    <row r="123" spans="1:5" x14ac:dyDescent="0.25">
      <c r="A123" s="15" t="s">
        <v>193</v>
      </c>
      <c r="B123" s="15"/>
      <c r="C123" s="15"/>
      <c r="D123" s="15"/>
      <c r="E123" s="15" t="s">
        <v>194</v>
      </c>
    </row>
    <row r="124" spans="1:5" x14ac:dyDescent="0.25">
      <c r="A124" s="1" t="s">
        <v>195</v>
      </c>
      <c r="E124" s="1" t="s">
        <v>201</v>
      </c>
    </row>
    <row r="125" spans="1:5" x14ac:dyDescent="0.25">
      <c r="A125" s="1" t="s">
        <v>196</v>
      </c>
      <c r="E125" s="1" t="s">
        <v>202</v>
      </c>
    </row>
    <row r="126" spans="1:5" x14ac:dyDescent="0.25">
      <c r="A126" s="1" t="s">
        <v>197</v>
      </c>
      <c r="E126" s="1" t="s">
        <v>203</v>
      </c>
    </row>
    <row r="127" spans="1:5" x14ac:dyDescent="0.25">
      <c r="A127" s="1" t="s">
        <v>198</v>
      </c>
      <c r="E127" s="1" t="s">
        <v>304</v>
      </c>
    </row>
    <row r="128" spans="1:5" x14ac:dyDescent="0.25">
      <c r="A128" s="1" t="s">
        <v>199</v>
      </c>
      <c r="E128" s="1" t="s">
        <v>204</v>
      </c>
    </row>
    <row r="129" spans="1:14" x14ac:dyDescent="0.25">
      <c r="A129" s="1" t="s">
        <v>200</v>
      </c>
      <c r="E129" s="1" t="s">
        <v>205</v>
      </c>
    </row>
    <row r="131" spans="1:14" x14ac:dyDescent="0.25">
      <c r="A131" s="15" t="s">
        <v>206</v>
      </c>
      <c r="B131" s="1" t="s">
        <v>207</v>
      </c>
    </row>
    <row r="133" spans="1:14" x14ac:dyDescent="0.25">
      <c r="A133" s="15" t="s">
        <v>193</v>
      </c>
      <c r="B133" s="15"/>
      <c r="C133" s="15"/>
      <c r="D133" s="15"/>
      <c r="E133" s="15" t="s">
        <v>208</v>
      </c>
      <c r="L133" s="7" t="s">
        <v>209</v>
      </c>
      <c r="M133" s="15" t="s">
        <v>210</v>
      </c>
      <c r="N133" s="15" t="s">
        <v>211</v>
      </c>
    </row>
    <row r="134" spans="1:14" x14ac:dyDescent="0.25">
      <c r="A134" s="1" t="s">
        <v>195</v>
      </c>
      <c r="E134" s="1" t="s">
        <v>212</v>
      </c>
      <c r="L134" s="32">
        <v>44032</v>
      </c>
      <c r="M134" s="2" t="s">
        <v>213</v>
      </c>
      <c r="N134" s="2">
        <v>0</v>
      </c>
    </row>
    <row r="135" spans="1:14" x14ac:dyDescent="0.25">
      <c r="A135" s="1" t="s">
        <v>196</v>
      </c>
      <c r="E135" s="1" t="s">
        <v>214</v>
      </c>
      <c r="L135" s="32">
        <v>44042</v>
      </c>
      <c r="M135" s="2" t="s">
        <v>213</v>
      </c>
      <c r="N135" s="2">
        <v>0</v>
      </c>
    </row>
    <row r="136" spans="1:14" x14ac:dyDescent="0.25">
      <c r="A136" s="1" t="s">
        <v>197</v>
      </c>
      <c r="E136" s="1" t="s">
        <v>215</v>
      </c>
      <c r="L136" s="32">
        <v>43996</v>
      </c>
      <c r="M136" s="2" t="s">
        <v>213</v>
      </c>
      <c r="N136" s="2">
        <v>0</v>
      </c>
    </row>
    <row r="137" spans="1:14" x14ac:dyDescent="0.25">
      <c r="A137" s="1" t="s">
        <v>198</v>
      </c>
      <c r="E137" s="1" t="s">
        <v>216</v>
      </c>
      <c r="L137" s="32">
        <v>44002</v>
      </c>
      <c r="M137" s="2" t="s">
        <v>217</v>
      </c>
      <c r="N137" s="2">
        <v>0</v>
      </c>
    </row>
    <row r="138" spans="1:14" x14ac:dyDescent="0.25">
      <c r="A138" s="1" t="s">
        <v>199</v>
      </c>
      <c r="E138" s="1" t="s">
        <v>218</v>
      </c>
      <c r="L138" s="32">
        <v>43998</v>
      </c>
      <c r="M138" s="2" t="s">
        <v>217</v>
      </c>
      <c r="N138" s="2">
        <v>0</v>
      </c>
    </row>
    <row r="139" spans="1:14" x14ac:dyDescent="0.25">
      <c r="A139" s="1" t="s">
        <v>200</v>
      </c>
      <c r="E139" s="1" t="s">
        <v>219</v>
      </c>
      <c r="L139" s="32">
        <v>44004</v>
      </c>
      <c r="M139" s="2" t="s">
        <v>217</v>
      </c>
      <c r="N139" s="2">
        <v>0</v>
      </c>
    </row>
    <row r="140" spans="1:14" x14ac:dyDescent="0.25">
      <c r="L140" s="2"/>
      <c r="M140" s="2"/>
      <c r="N140" s="2"/>
    </row>
    <row r="141" spans="1:14" x14ac:dyDescent="0.25">
      <c r="A141" s="15" t="s">
        <v>220</v>
      </c>
      <c r="B141" s="1" t="s">
        <v>221</v>
      </c>
      <c r="L141" s="2"/>
    </row>
    <row r="142" spans="1:14" x14ac:dyDescent="0.25">
      <c r="L142" s="2"/>
    </row>
    <row r="143" spans="1:14" x14ac:dyDescent="0.25">
      <c r="A143" s="15" t="s">
        <v>193</v>
      </c>
      <c r="E143" s="15" t="s">
        <v>208</v>
      </c>
      <c r="L143" s="7" t="s">
        <v>209</v>
      </c>
      <c r="M143" s="15" t="s">
        <v>222</v>
      </c>
    </row>
    <row r="144" spans="1:14" x14ac:dyDescent="0.25">
      <c r="A144" s="1" t="s">
        <v>195</v>
      </c>
      <c r="E144" s="1" t="s">
        <v>212</v>
      </c>
      <c r="L144" s="33" t="s">
        <v>223</v>
      </c>
      <c r="M144" s="1" t="s">
        <v>224</v>
      </c>
    </row>
    <row r="145" spans="1:13" x14ac:dyDescent="0.25">
      <c r="A145" s="1" t="s">
        <v>196</v>
      </c>
      <c r="E145" s="1" t="s">
        <v>214</v>
      </c>
      <c r="L145" s="33" t="s">
        <v>223</v>
      </c>
      <c r="M145" s="1" t="s">
        <v>225</v>
      </c>
    </row>
    <row r="146" spans="1:13" x14ac:dyDescent="0.25">
      <c r="A146" s="1" t="s">
        <v>197</v>
      </c>
      <c r="E146" s="1" t="s">
        <v>215</v>
      </c>
      <c r="L146" s="33" t="s">
        <v>223</v>
      </c>
      <c r="M146" s="1" t="s">
        <v>226</v>
      </c>
    </row>
    <row r="147" spans="1:13" x14ac:dyDescent="0.25">
      <c r="A147" s="1" t="s">
        <v>198</v>
      </c>
      <c r="E147" s="1" t="s">
        <v>216</v>
      </c>
      <c r="L147" s="33" t="s">
        <v>223</v>
      </c>
    </row>
    <row r="148" spans="1:13" x14ac:dyDescent="0.25">
      <c r="A148" s="1" t="s">
        <v>199</v>
      </c>
      <c r="E148" s="1" t="s">
        <v>218</v>
      </c>
      <c r="L148" s="33" t="s">
        <v>223</v>
      </c>
      <c r="M148" s="1" t="s">
        <v>227</v>
      </c>
    </row>
    <row r="149" spans="1:13" x14ac:dyDescent="0.25">
      <c r="A149" s="1" t="s">
        <v>200</v>
      </c>
      <c r="E149" s="1" t="s">
        <v>219</v>
      </c>
      <c r="L149" s="33" t="s">
        <v>223</v>
      </c>
      <c r="M149" s="1" t="s">
        <v>228</v>
      </c>
    </row>
    <row r="162" spans="1:1" x14ac:dyDescent="0.25">
      <c r="A162" s="1" t="s">
        <v>229</v>
      </c>
    </row>
    <row r="163" spans="1:1" x14ac:dyDescent="0.25">
      <c r="A163" s="1" t="s">
        <v>230</v>
      </c>
    </row>
    <row r="164" spans="1:1" x14ac:dyDescent="0.25">
      <c r="A164" s="1" t="s">
        <v>231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F8D2-B1C8-455D-8944-F0BC66F529DB}">
  <dimension ref="A5:J74"/>
  <sheetViews>
    <sheetView zoomScale="110" zoomScaleNormal="110" workbookViewId="0">
      <selection activeCell="J41" sqref="J41"/>
    </sheetView>
  </sheetViews>
  <sheetFormatPr baseColWidth="10" defaultColWidth="11.42578125" defaultRowHeight="15" x14ac:dyDescent="0.25"/>
  <cols>
    <col min="1" max="9" width="11.42578125" style="1"/>
    <col min="10" max="10" width="12.140625" style="1" bestFit="1" customWidth="1"/>
    <col min="11" max="16384" width="11.42578125" style="1"/>
  </cols>
  <sheetData>
    <row r="5" spans="1:1" x14ac:dyDescent="0.25">
      <c r="A5" s="1" t="s">
        <v>306</v>
      </c>
    </row>
    <row r="6" spans="1:1" x14ac:dyDescent="0.25">
      <c r="A6" s="1" t="s">
        <v>307</v>
      </c>
    </row>
    <row r="7" spans="1:1" x14ac:dyDescent="0.25">
      <c r="A7" s="1" t="s">
        <v>308</v>
      </c>
    </row>
    <row r="8" spans="1:1" x14ac:dyDescent="0.25">
      <c r="A8" s="1" t="s">
        <v>309</v>
      </c>
    </row>
    <row r="9" spans="1:1" x14ac:dyDescent="0.25">
      <c r="A9" s="1" t="s">
        <v>310</v>
      </c>
    </row>
    <row r="10" spans="1:1" x14ac:dyDescent="0.25">
      <c r="A10" s="1" t="s">
        <v>311</v>
      </c>
    </row>
    <row r="11" spans="1:1" x14ac:dyDescent="0.25">
      <c r="A11" s="15" t="s">
        <v>184</v>
      </c>
    </row>
    <row r="12" spans="1:1" x14ac:dyDescent="0.25">
      <c r="A12" s="35" t="s">
        <v>294</v>
      </c>
    </row>
    <row r="16" spans="1:1" x14ac:dyDescent="0.25">
      <c r="A16" s="15" t="s">
        <v>260</v>
      </c>
    </row>
    <row r="17" spans="1:10" x14ac:dyDescent="0.25">
      <c r="A17" s="1" t="s">
        <v>312</v>
      </c>
    </row>
    <row r="18" spans="1:10" x14ac:dyDescent="0.25">
      <c r="A18" s="1" t="s">
        <v>313</v>
      </c>
      <c r="J18" s="1" t="s">
        <v>305</v>
      </c>
    </row>
    <row r="19" spans="1:10" x14ac:dyDescent="0.25">
      <c r="A19" s="1" t="s">
        <v>314</v>
      </c>
      <c r="G19" s="1">
        <v>12</v>
      </c>
      <c r="H19" s="1" t="s">
        <v>290</v>
      </c>
    </row>
    <row r="20" spans="1:10" x14ac:dyDescent="0.25">
      <c r="A20" s="30" t="s">
        <v>261</v>
      </c>
      <c r="B20" s="29" t="s">
        <v>262</v>
      </c>
      <c r="C20" s="29" t="s">
        <v>263</v>
      </c>
      <c r="D20" s="29" t="s">
        <v>264</v>
      </c>
      <c r="E20" s="29" t="s">
        <v>265</v>
      </c>
      <c r="F20" s="29" t="s">
        <v>266</v>
      </c>
      <c r="G20" s="29" t="s">
        <v>267</v>
      </c>
      <c r="H20" s="29" t="s">
        <v>268</v>
      </c>
      <c r="I20" s="29" t="s">
        <v>269</v>
      </c>
      <c r="J20" s="29" t="s">
        <v>293</v>
      </c>
    </row>
    <row r="21" spans="1:10" x14ac:dyDescent="0.25">
      <c r="A21" s="6" t="s">
        <v>270</v>
      </c>
      <c r="B21" s="34">
        <v>138.25</v>
      </c>
      <c r="C21" s="34">
        <v>160.78</v>
      </c>
      <c r="D21" s="34">
        <v>210.84</v>
      </c>
      <c r="E21" s="34">
        <v>364.1</v>
      </c>
      <c r="F21" s="34">
        <v>135.6</v>
      </c>
      <c r="G21" s="34">
        <v>145.65</v>
      </c>
      <c r="H21" s="34">
        <v>184.6</v>
      </c>
      <c r="I21" s="34">
        <v>136.4</v>
      </c>
      <c r="J21" s="34">
        <f t="shared" ref="J21:J40" si="0">SUM(B21:I21)*$G$19</f>
        <v>17714.64</v>
      </c>
    </row>
    <row r="22" spans="1:10" x14ac:dyDescent="0.25">
      <c r="A22" s="6" t="s">
        <v>271</v>
      </c>
      <c r="B22" s="34">
        <v>120.45</v>
      </c>
      <c r="C22" s="34">
        <v>146.30000000000001</v>
      </c>
      <c r="D22" s="34">
        <v>165.4</v>
      </c>
      <c r="E22" s="34">
        <v>184.36</v>
      </c>
      <c r="F22" s="34">
        <v>126.8</v>
      </c>
      <c r="G22" s="34">
        <v>140.65</v>
      </c>
      <c r="H22" s="34">
        <v>124.98</v>
      </c>
      <c r="I22" s="34">
        <v>113.7</v>
      </c>
      <c r="J22" s="34">
        <f t="shared" si="0"/>
        <v>13471.679999999998</v>
      </c>
    </row>
    <row r="23" spans="1:10" x14ac:dyDescent="0.25">
      <c r="A23" s="6" t="s">
        <v>272</v>
      </c>
      <c r="B23" s="34">
        <v>245.6</v>
      </c>
      <c r="C23" s="34">
        <v>216.8</v>
      </c>
      <c r="D23" s="34">
        <v>220.6</v>
      </c>
      <c r="E23" s="34">
        <v>190.63</v>
      </c>
      <c r="F23" s="34">
        <v>245.61</v>
      </c>
      <c r="G23" s="34">
        <v>360.5</v>
      </c>
      <c r="H23" s="34">
        <v>150.6</v>
      </c>
      <c r="I23" s="34">
        <v>265.33999999999997</v>
      </c>
      <c r="J23" s="34">
        <f t="shared" si="0"/>
        <v>22748.159999999996</v>
      </c>
    </row>
    <row r="24" spans="1:10" x14ac:dyDescent="0.25">
      <c r="A24" s="6" t="s">
        <v>273</v>
      </c>
      <c r="B24" s="34">
        <v>265.56</v>
      </c>
      <c r="C24" s="34">
        <v>284.98</v>
      </c>
      <c r="D24" s="34">
        <v>210.65</v>
      </c>
      <c r="E24" s="34">
        <v>165.45</v>
      </c>
      <c r="F24" s="34">
        <v>215.89</v>
      </c>
      <c r="G24" s="34">
        <v>302.60000000000002</v>
      </c>
      <c r="H24" s="34">
        <v>209.4</v>
      </c>
      <c r="I24" s="34">
        <v>231.9</v>
      </c>
      <c r="J24" s="34">
        <f t="shared" si="0"/>
        <v>22637.159999999996</v>
      </c>
    </row>
    <row r="25" spans="1:10" x14ac:dyDescent="0.25">
      <c r="A25" s="6" t="s">
        <v>274</v>
      </c>
      <c r="B25" s="34">
        <v>214.6</v>
      </c>
      <c r="C25" s="34">
        <v>216.5</v>
      </c>
      <c r="D25" s="34">
        <v>206.5</v>
      </c>
      <c r="E25" s="34">
        <v>198.46</v>
      </c>
      <c r="F25" s="34">
        <v>206.5</v>
      </c>
      <c r="G25" s="34">
        <v>208.48</v>
      </c>
      <c r="H25" s="34">
        <v>310.39999999999998</v>
      </c>
      <c r="I25" s="34">
        <v>306.39999999999998</v>
      </c>
      <c r="J25" s="34">
        <f t="shared" si="0"/>
        <v>22414.080000000002</v>
      </c>
    </row>
    <row r="26" spans="1:10" x14ac:dyDescent="0.25">
      <c r="A26" s="6" t="s">
        <v>275</v>
      </c>
      <c r="B26" s="34">
        <v>189.45</v>
      </c>
      <c r="C26" s="34">
        <v>210.87</v>
      </c>
      <c r="D26" s="34">
        <v>212.65</v>
      </c>
      <c r="E26" s="34">
        <v>214.65</v>
      </c>
      <c r="F26" s="34">
        <v>215.6</v>
      </c>
      <c r="G26" s="34">
        <v>218.6</v>
      </c>
      <c r="H26" s="34">
        <v>254.6</v>
      </c>
      <c r="I26" s="34">
        <v>301.60000000000002</v>
      </c>
      <c r="J26" s="34">
        <f t="shared" si="0"/>
        <v>21816.239999999998</v>
      </c>
    </row>
    <row r="27" spans="1:10" x14ac:dyDescent="0.25">
      <c r="A27" s="6" t="s">
        <v>276</v>
      </c>
      <c r="B27" s="34">
        <v>246.7</v>
      </c>
      <c r="C27" s="34">
        <v>249.5</v>
      </c>
      <c r="D27" s="34">
        <v>184.6</v>
      </c>
      <c r="E27" s="34">
        <v>310.60000000000002</v>
      </c>
      <c r="F27" s="34">
        <v>256.2</v>
      </c>
      <c r="G27" s="34">
        <v>314.60000000000002</v>
      </c>
      <c r="H27" s="34">
        <v>184.6</v>
      </c>
      <c r="I27" s="34">
        <v>210.5</v>
      </c>
      <c r="J27" s="34">
        <f t="shared" si="0"/>
        <v>23487.599999999999</v>
      </c>
    </row>
    <row r="28" spans="1:10" x14ac:dyDescent="0.25">
      <c r="A28" s="6" t="s">
        <v>277</v>
      </c>
      <c r="B28" s="34">
        <v>165.48</v>
      </c>
      <c r="C28" s="34">
        <v>184.6</v>
      </c>
      <c r="D28" s="34">
        <v>200.6</v>
      </c>
      <c r="E28" s="34">
        <v>300.8</v>
      </c>
      <c r="F28" s="34">
        <v>200.48</v>
      </c>
      <c r="G28" s="34">
        <v>165.84</v>
      </c>
      <c r="H28" s="34">
        <v>136.44999999999999</v>
      </c>
      <c r="I28" s="34">
        <v>164.25</v>
      </c>
      <c r="J28" s="34">
        <f t="shared" si="0"/>
        <v>18222</v>
      </c>
    </row>
    <row r="29" spans="1:10" x14ac:dyDescent="0.25">
      <c r="A29" s="6" t="s">
        <v>278</v>
      </c>
      <c r="B29" s="34">
        <v>178.46</v>
      </c>
      <c r="C29" s="34">
        <v>310.8</v>
      </c>
      <c r="D29" s="34">
        <v>190.6</v>
      </c>
      <c r="E29" s="34">
        <v>312.60000000000002</v>
      </c>
      <c r="F29" s="34">
        <v>306.2</v>
      </c>
      <c r="G29" s="34">
        <v>148.36000000000001</v>
      </c>
      <c r="H29" s="34">
        <v>165.4</v>
      </c>
      <c r="I29" s="34">
        <v>129.4</v>
      </c>
      <c r="J29" s="34">
        <f t="shared" si="0"/>
        <v>20901.840000000004</v>
      </c>
    </row>
    <row r="30" spans="1:10" x14ac:dyDescent="0.25">
      <c r="A30" s="6" t="s">
        <v>279</v>
      </c>
      <c r="B30" s="34">
        <v>210.65</v>
      </c>
      <c r="C30" s="34">
        <v>316.39999999999998</v>
      </c>
      <c r="D30" s="34">
        <v>321.14999999999998</v>
      </c>
      <c r="E30" s="34">
        <v>164.58</v>
      </c>
      <c r="F30" s="34">
        <v>203.4</v>
      </c>
      <c r="G30" s="34">
        <v>200.16</v>
      </c>
      <c r="H30" s="34">
        <v>178.4</v>
      </c>
      <c r="I30" s="34">
        <v>206.4</v>
      </c>
      <c r="J30" s="34">
        <f t="shared" si="0"/>
        <v>21613.680000000004</v>
      </c>
    </row>
    <row r="31" spans="1:10" x14ac:dyDescent="0.25">
      <c r="A31" s="6" t="s">
        <v>280</v>
      </c>
      <c r="B31" s="34">
        <v>216.98</v>
      </c>
      <c r="C31" s="34">
        <v>308.39999999999998</v>
      </c>
      <c r="D31" s="34">
        <v>164.8</v>
      </c>
      <c r="E31" s="34">
        <v>194.76</v>
      </c>
      <c r="F31" s="34">
        <v>188.7</v>
      </c>
      <c r="G31" s="34">
        <v>195.46</v>
      </c>
      <c r="H31" s="34">
        <v>198.46</v>
      </c>
      <c r="I31" s="34">
        <v>198.45</v>
      </c>
      <c r="J31" s="34">
        <f t="shared" si="0"/>
        <v>19992.120000000003</v>
      </c>
    </row>
    <row r="32" spans="1:10" x14ac:dyDescent="0.25">
      <c r="A32" s="6" t="s">
        <v>281</v>
      </c>
      <c r="B32" s="34">
        <v>313.39999999999998</v>
      </c>
      <c r="C32" s="34">
        <v>214.8</v>
      </c>
      <c r="D32" s="34">
        <v>102.6</v>
      </c>
      <c r="E32" s="34">
        <v>200.45</v>
      </c>
      <c r="F32" s="34">
        <v>164.53</v>
      </c>
      <c r="G32" s="34">
        <v>184.63</v>
      </c>
      <c r="H32" s="34">
        <v>236.45</v>
      </c>
      <c r="I32" s="34">
        <v>300.45</v>
      </c>
      <c r="J32" s="34">
        <f t="shared" si="0"/>
        <v>20607.72</v>
      </c>
    </row>
    <row r="33" spans="1:10" x14ac:dyDescent="0.25">
      <c r="A33" s="6" t="s">
        <v>282</v>
      </c>
      <c r="B33" s="34">
        <v>283.39999999999998</v>
      </c>
      <c r="C33" s="34">
        <v>210.65</v>
      </c>
      <c r="D33" s="34">
        <v>218.4</v>
      </c>
      <c r="E33" s="34">
        <v>194.6</v>
      </c>
      <c r="F33" s="34">
        <v>230.48</v>
      </c>
      <c r="G33" s="34">
        <v>214.68</v>
      </c>
      <c r="H33" s="34">
        <v>189.48</v>
      </c>
      <c r="I33" s="34">
        <v>246.7</v>
      </c>
      <c r="J33" s="34">
        <f t="shared" si="0"/>
        <v>21460.68</v>
      </c>
    </row>
    <row r="34" spans="1:10" x14ac:dyDescent="0.25">
      <c r="A34" s="6" t="s">
        <v>283</v>
      </c>
      <c r="B34" s="34">
        <v>165.4</v>
      </c>
      <c r="C34" s="34">
        <v>136.4</v>
      </c>
      <c r="D34" s="34">
        <v>309.39999999999998</v>
      </c>
      <c r="E34" s="34">
        <v>148.65</v>
      </c>
      <c r="F34" s="34">
        <v>245.6</v>
      </c>
      <c r="G34" s="34">
        <v>216.48</v>
      </c>
      <c r="H34" s="34">
        <v>236.45</v>
      </c>
      <c r="I34" s="34">
        <v>218</v>
      </c>
      <c r="J34" s="34">
        <f t="shared" si="0"/>
        <v>20116.560000000001</v>
      </c>
    </row>
    <row r="35" spans="1:10" x14ac:dyDescent="0.25">
      <c r="A35" s="6" t="s">
        <v>284</v>
      </c>
      <c r="B35" s="34">
        <v>198.4</v>
      </c>
      <c r="C35" s="34">
        <v>145.19999999999999</v>
      </c>
      <c r="D35" s="34">
        <v>264.3</v>
      </c>
      <c r="E35" s="34">
        <v>204.65</v>
      </c>
      <c r="F35" s="34">
        <v>165.4</v>
      </c>
      <c r="G35" s="34">
        <v>360.4</v>
      </c>
      <c r="H35" s="34">
        <v>289.41000000000003</v>
      </c>
      <c r="I35" s="34">
        <v>246.78</v>
      </c>
      <c r="J35" s="34">
        <f t="shared" si="0"/>
        <v>22494.48</v>
      </c>
    </row>
    <row r="36" spans="1:10" x14ac:dyDescent="0.25">
      <c r="A36" s="6" t="s">
        <v>285</v>
      </c>
      <c r="B36" s="34">
        <v>264.8</v>
      </c>
      <c r="C36" s="34">
        <v>186.4</v>
      </c>
      <c r="D36" s="34">
        <v>234.5</v>
      </c>
      <c r="E36" s="34">
        <v>185.6</v>
      </c>
      <c r="F36" s="34">
        <v>176.1</v>
      </c>
      <c r="G36" s="34">
        <v>194.6</v>
      </c>
      <c r="H36" s="34">
        <v>306.77999999999997</v>
      </c>
      <c r="I36" s="34">
        <v>264.58999999999997</v>
      </c>
      <c r="J36" s="34">
        <f t="shared" si="0"/>
        <v>21760.44</v>
      </c>
    </row>
    <row r="37" spans="1:10" x14ac:dyDescent="0.25">
      <c r="A37" s="6" t="s">
        <v>286</v>
      </c>
      <c r="B37" s="34">
        <v>266.8</v>
      </c>
      <c r="C37" s="34">
        <v>189.4</v>
      </c>
      <c r="D37" s="34">
        <v>257.10000000000002</v>
      </c>
      <c r="E37" s="34">
        <v>210.5</v>
      </c>
      <c r="F37" s="34">
        <v>184.6</v>
      </c>
      <c r="G37" s="34">
        <v>206.7</v>
      </c>
      <c r="H37" s="34">
        <v>300.45</v>
      </c>
      <c r="I37" s="34">
        <v>243.1</v>
      </c>
      <c r="J37" s="34">
        <f t="shared" si="0"/>
        <v>22303.800000000003</v>
      </c>
    </row>
    <row r="38" spans="1:10" x14ac:dyDescent="0.25">
      <c r="A38" s="6" t="s">
        <v>287</v>
      </c>
      <c r="B38" s="34">
        <v>304.89999999999998</v>
      </c>
      <c r="C38" s="34">
        <v>175.6</v>
      </c>
      <c r="D38" s="34">
        <v>150.80000000000001</v>
      </c>
      <c r="E38" s="34">
        <v>205.4</v>
      </c>
      <c r="F38" s="34">
        <v>164.36</v>
      </c>
      <c r="G38" s="34">
        <v>189.4</v>
      </c>
      <c r="H38" s="34">
        <v>160.44999999999999</v>
      </c>
      <c r="I38" s="34">
        <v>230.18</v>
      </c>
      <c r="J38" s="34">
        <f t="shared" si="0"/>
        <v>18973.080000000002</v>
      </c>
    </row>
    <row r="39" spans="1:10" x14ac:dyDescent="0.25">
      <c r="A39" s="6" t="s">
        <v>288</v>
      </c>
      <c r="B39" s="34">
        <v>165.1</v>
      </c>
      <c r="C39" s="34">
        <v>213.5</v>
      </c>
      <c r="D39" s="34">
        <v>200.8</v>
      </c>
      <c r="E39" s="34">
        <v>164.8</v>
      </c>
      <c r="F39" s="34">
        <v>206.7</v>
      </c>
      <c r="G39" s="34">
        <v>194.8</v>
      </c>
      <c r="H39" s="34">
        <v>258.39999999999998</v>
      </c>
      <c r="I39" s="34">
        <v>254.18</v>
      </c>
      <c r="J39" s="34">
        <f t="shared" si="0"/>
        <v>19899.36</v>
      </c>
    </row>
    <row r="40" spans="1:10" x14ac:dyDescent="0.25">
      <c r="A40" s="6" t="s">
        <v>289</v>
      </c>
      <c r="B40" s="34">
        <v>285.39999999999998</v>
      </c>
      <c r="C40" s="34">
        <v>306.7</v>
      </c>
      <c r="D40" s="34">
        <v>194.3</v>
      </c>
      <c r="E40" s="34">
        <v>112.36</v>
      </c>
      <c r="F40" s="34">
        <v>310.45</v>
      </c>
      <c r="G40" s="34">
        <v>245.1</v>
      </c>
      <c r="H40" s="34">
        <v>260.48</v>
      </c>
      <c r="I40" s="34">
        <v>308.10000000000002</v>
      </c>
      <c r="J40" s="34">
        <f t="shared" si="0"/>
        <v>24274.68</v>
      </c>
    </row>
    <row r="41" spans="1:10" x14ac:dyDescent="0.25">
      <c r="J41" s="63">
        <f>SUM(J21:J40)</f>
        <v>416909.99999999994</v>
      </c>
    </row>
    <row r="42" spans="1:10" x14ac:dyDescent="0.25">
      <c r="A42" s="35" t="s">
        <v>316</v>
      </c>
      <c r="G42" s="15" t="s">
        <v>315</v>
      </c>
      <c r="J42" s="63">
        <f>AVERAGE(J21:J40)/15</f>
        <v>1389.6999999999998</v>
      </c>
    </row>
    <row r="43" spans="1:10" x14ac:dyDescent="0.25">
      <c r="A43" s="35" t="s">
        <v>291</v>
      </c>
    </row>
    <row r="58" spans="1:1" x14ac:dyDescent="0.25">
      <c r="A58" s="15" t="s">
        <v>189</v>
      </c>
    </row>
    <row r="59" spans="1:1" x14ac:dyDescent="0.25">
      <c r="A59" s="35" t="s">
        <v>295</v>
      </c>
    </row>
    <row r="67" spans="1:1" x14ac:dyDescent="0.25">
      <c r="A67" s="15" t="s">
        <v>206</v>
      </c>
    </row>
    <row r="68" spans="1:1" x14ac:dyDescent="0.25">
      <c r="A68" s="35" t="s">
        <v>317</v>
      </c>
    </row>
    <row r="73" spans="1:1" x14ac:dyDescent="0.25">
      <c r="A73" s="15" t="s">
        <v>13</v>
      </c>
    </row>
    <row r="74" spans="1:1" x14ac:dyDescent="0.25">
      <c r="A74" s="35" t="s">
        <v>318</v>
      </c>
    </row>
  </sheetData>
  <phoneticPr fontId="5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A727-AB15-4D96-A7D3-23082115723A}">
  <sheetPr>
    <tabColor rgb="FFFFFF00"/>
  </sheetPr>
  <dimension ref="A5:AX371"/>
  <sheetViews>
    <sheetView zoomScale="120" zoomScaleNormal="120" workbookViewId="0">
      <selection activeCell="E1" sqref="E1"/>
    </sheetView>
  </sheetViews>
  <sheetFormatPr baseColWidth="10" defaultColWidth="11.42578125" defaultRowHeight="15" x14ac:dyDescent="0.25"/>
  <cols>
    <col min="1" max="1" width="13.7109375" style="1" customWidth="1"/>
    <col min="2" max="2" width="16" style="1" customWidth="1"/>
    <col min="3" max="3" width="18" style="1" customWidth="1"/>
    <col min="4" max="4" width="15.5703125" style="1" customWidth="1"/>
    <col min="5" max="5" width="13.7109375" style="1" customWidth="1"/>
    <col min="6" max="7" width="11.42578125" style="1"/>
    <col min="8" max="8" width="12.28515625" style="1" customWidth="1"/>
    <col min="9" max="9" width="14.7109375" style="1" customWidth="1"/>
    <col min="10" max="10" width="12.140625" style="1" bestFit="1" customWidth="1"/>
    <col min="11" max="11" width="12.85546875" style="1" bestFit="1" customWidth="1"/>
    <col min="12" max="12" width="13.5703125" style="1" customWidth="1"/>
    <col min="13" max="14" width="11.85546875" style="1" bestFit="1" customWidth="1"/>
    <col min="15" max="15" width="11.42578125" style="1"/>
    <col min="16" max="16" width="11.85546875" style="1" bestFit="1" customWidth="1"/>
    <col min="17" max="16384" width="11.42578125" style="1"/>
  </cols>
  <sheetData>
    <row r="5" spans="1:3" x14ac:dyDescent="0.25">
      <c r="A5" s="1" t="s">
        <v>306</v>
      </c>
    </row>
    <row r="6" spans="1:3" x14ac:dyDescent="0.25">
      <c r="A6" s="1" t="s">
        <v>307</v>
      </c>
    </row>
    <row r="7" spans="1:3" x14ac:dyDescent="0.25">
      <c r="A7" s="1" t="s">
        <v>308</v>
      </c>
    </row>
    <row r="8" spans="1:3" x14ac:dyDescent="0.25">
      <c r="A8" s="1" t="s">
        <v>309</v>
      </c>
    </row>
    <row r="9" spans="1:3" x14ac:dyDescent="0.25">
      <c r="A9" s="1" t="s">
        <v>310</v>
      </c>
    </row>
    <row r="10" spans="1:3" x14ac:dyDescent="0.25">
      <c r="A10" s="1" t="s">
        <v>311</v>
      </c>
    </row>
    <row r="11" spans="1:3" x14ac:dyDescent="0.25">
      <c r="A11" s="15" t="s">
        <v>184</v>
      </c>
    </row>
    <row r="12" spans="1:3" x14ac:dyDescent="0.25">
      <c r="A12" s="35" t="s">
        <v>294</v>
      </c>
    </row>
    <row r="13" spans="1:3" x14ac:dyDescent="0.25">
      <c r="A13" s="35"/>
    </row>
    <row r="16" spans="1:3" ht="26.25" x14ac:dyDescent="0.4">
      <c r="A16" s="36" t="s">
        <v>319</v>
      </c>
      <c r="B16" s="37"/>
      <c r="C16" s="37"/>
    </row>
    <row r="18" spans="1:37" x14ac:dyDescent="0.25">
      <c r="AE18" s="1" t="s">
        <v>176</v>
      </c>
      <c r="AK18" s="1">
        <v>1528</v>
      </c>
    </row>
    <row r="19" spans="1:37" x14ac:dyDescent="0.25">
      <c r="A19" s="1" t="s">
        <v>148</v>
      </c>
      <c r="B19" s="15" t="s">
        <v>320</v>
      </c>
      <c r="AE19" s="1" t="s">
        <v>177</v>
      </c>
      <c r="AK19" s="38">
        <v>44047</v>
      </c>
    </row>
    <row r="20" spans="1:37" x14ac:dyDescent="0.25">
      <c r="A20" s="1" t="s">
        <v>143</v>
      </c>
      <c r="B20" s="1" t="s">
        <v>321</v>
      </c>
    </row>
    <row r="21" spans="1:37" x14ac:dyDescent="0.25">
      <c r="A21" s="1" t="s">
        <v>144</v>
      </c>
      <c r="B21" s="1" t="s">
        <v>322</v>
      </c>
    </row>
    <row r="22" spans="1:37" x14ac:dyDescent="0.25">
      <c r="A22" s="1" t="s">
        <v>145</v>
      </c>
      <c r="B22" s="1" t="s">
        <v>323</v>
      </c>
    </row>
    <row r="23" spans="1:37" x14ac:dyDescent="0.25">
      <c r="A23" s="1" t="s">
        <v>146</v>
      </c>
      <c r="B23" s="1" t="s">
        <v>324</v>
      </c>
    </row>
    <row r="24" spans="1:37" x14ac:dyDescent="0.25">
      <c r="A24" s="1" t="s">
        <v>147</v>
      </c>
      <c r="B24" s="1" t="s">
        <v>325</v>
      </c>
    </row>
    <row r="25" spans="1:37" x14ac:dyDescent="0.25">
      <c r="A25" s="1" t="s">
        <v>155</v>
      </c>
      <c r="C25" s="39">
        <f>+K74</f>
        <v>2605.6874999999995</v>
      </c>
    </row>
    <row r="26" spans="1:37" x14ac:dyDescent="0.25">
      <c r="A26" s="1" t="s">
        <v>3</v>
      </c>
      <c r="C26" s="1" t="s">
        <v>487</v>
      </c>
    </row>
    <row r="27" spans="1:37" x14ac:dyDescent="0.25">
      <c r="A27" s="1" t="s">
        <v>149</v>
      </c>
      <c r="C27" s="40">
        <f>0.5*C25</f>
        <v>1302.8437499999998</v>
      </c>
    </row>
    <row r="28" spans="1:37" x14ac:dyDescent="0.25">
      <c r="A28" s="1" t="s">
        <v>150</v>
      </c>
      <c r="C28" s="39">
        <f>1302*360</f>
        <v>468720</v>
      </c>
    </row>
    <row r="29" spans="1:37" x14ac:dyDescent="0.25">
      <c r="A29" s="1" t="s">
        <v>151</v>
      </c>
      <c r="C29" s="39">
        <v>60000</v>
      </c>
    </row>
    <row r="30" spans="1:37" x14ac:dyDescent="0.25">
      <c r="A30" s="1" t="s">
        <v>152</v>
      </c>
      <c r="C30" s="40">
        <f>+C28-C29</f>
        <v>408720</v>
      </c>
    </row>
    <row r="31" spans="1:37" x14ac:dyDescent="0.25">
      <c r="A31" s="1" t="s">
        <v>153</v>
      </c>
      <c r="C31" s="1" t="s">
        <v>326</v>
      </c>
    </row>
    <row r="32" spans="1:37" ht="18.75" x14ac:dyDescent="0.3">
      <c r="A32" s="1" t="s">
        <v>154</v>
      </c>
      <c r="C32" s="1" t="s">
        <v>327</v>
      </c>
      <c r="F32" s="41" t="s">
        <v>328</v>
      </c>
      <c r="G32" s="42"/>
    </row>
    <row r="33" spans="1:50" x14ac:dyDescent="0.25">
      <c r="A33" s="69" t="s">
        <v>175</v>
      </c>
      <c r="B33" s="69"/>
      <c r="C33" s="71" t="s">
        <v>156</v>
      </c>
      <c r="D33" s="68"/>
      <c r="E33" s="68"/>
      <c r="F33" s="68"/>
      <c r="G33" s="68" t="s">
        <v>157</v>
      </c>
      <c r="H33" s="68"/>
      <c r="I33" s="68"/>
      <c r="J33" s="68"/>
      <c r="K33" s="68" t="s">
        <v>158</v>
      </c>
      <c r="L33" s="68"/>
      <c r="M33" s="68"/>
      <c r="N33" s="68"/>
      <c r="O33" s="68" t="s">
        <v>159</v>
      </c>
      <c r="P33" s="68"/>
      <c r="Q33" s="68"/>
      <c r="R33" s="68"/>
      <c r="S33" s="68" t="s">
        <v>160</v>
      </c>
      <c r="T33" s="68"/>
      <c r="U33" s="68"/>
      <c r="V33" s="68"/>
      <c r="W33" s="68" t="s">
        <v>161</v>
      </c>
      <c r="X33" s="68"/>
      <c r="Y33" s="68"/>
      <c r="Z33" s="68"/>
      <c r="AA33" s="68" t="s">
        <v>162</v>
      </c>
      <c r="AB33" s="68"/>
      <c r="AC33" s="68"/>
      <c r="AD33" s="68"/>
      <c r="AE33" s="68" t="s">
        <v>163</v>
      </c>
      <c r="AF33" s="68"/>
      <c r="AG33" s="68"/>
      <c r="AH33" s="68"/>
      <c r="AI33" s="68" t="s">
        <v>164</v>
      </c>
      <c r="AJ33" s="68"/>
      <c r="AK33" s="68"/>
      <c r="AL33" s="68"/>
      <c r="AM33" s="68" t="s">
        <v>165</v>
      </c>
      <c r="AN33" s="68"/>
      <c r="AO33" s="68"/>
      <c r="AP33" s="68"/>
      <c r="AQ33" s="68" t="s">
        <v>166</v>
      </c>
      <c r="AR33" s="68"/>
      <c r="AS33" s="68"/>
      <c r="AT33" s="68"/>
      <c r="AU33" s="68" t="s">
        <v>167</v>
      </c>
      <c r="AV33" s="68"/>
      <c r="AW33" s="68"/>
      <c r="AX33" s="68"/>
    </row>
    <row r="34" spans="1:50" x14ac:dyDescent="0.25">
      <c r="A34" s="69"/>
      <c r="B34" s="70"/>
      <c r="C34" s="30">
        <v>1</v>
      </c>
      <c r="D34" s="30">
        <v>2</v>
      </c>
      <c r="E34" s="30">
        <v>3</v>
      </c>
      <c r="F34" s="30">
        <v>4</v>
      </c>
      <c r="G34" s="30">
        <v>1</v>
      </c>
      <c r="H34" s="30">
        <v>2</v>
      </c>
      <c r="I34" s="30">
        <v>3</v>
      </c>
      <c r="J34" s="30">
        <v>4</v>
      </c>
      <c r="K34" s="30">
        <v>1</v>
      </c>
      <c r="L34" s="30">
        <v>2</v>
      </c>
      <c r="M34" s="30">
        <v>3</v>
      </c>
      <c r="N34" s="30">
        <v>4</v>
      </c>
      <c r="O34" s="30">
        <v>1</v>
      </c>
      <c r="P34" s="30">
        <v>2</v>
      </c>
      <c r="Q34" s="30">
        <v>3</v>
      </c>
      <c r="R34" s="30">
        <v>4</v>
      </c>
      <c r="S34" s="30">
        <v>1</v>
      </c>
      <c r="T34" s="30">
        <v>2</v>
      </c>
      <c r="U34" s="30">
        <v>3</v>
      </c>
      <c r="V34" s="30">
        <v>4</v>
      </c>
      <c r="W34" s="30">
        <v>1</v>
      </c>
      <c r="X34" s="30">
        <v>2</v>
      </c>
      <c r="Y34" s="30">
        <v>3</v>
      </c>
      <c r="Z34" s="30">
        <v>4</v>
      </c>
      <c r="AA34" s="30">
        <v>1</v>
      </c>
      <c r="AB34" s="30">
        <v>2</v>
      </c>
      <c r="AC34" s="30">
        <v>3</v>
      </c>
      <c r="AD34" s="30">
        <v>4</v>
      </c>
      <c r="AE34" s="30">
        <v>1</v>
      </c>
      <c r="AF34" s="30">
        <v>2</v>
      </c>
      <c r="AG34" s="30">
        <v>3</v>
      </c>
      <c r="AH34" s="30">
        <v>4</v>
      </c>
      <c r="AI34" s="30">
        <v>1</v>
      </c>
      <c r="AJ34" s="30">
        <v>2</v>
      </c>
      <c r="AK34" s="30">
        <v>3</v>
      </c>
      <c r="AL34" s="30">
        <v>4</v>
      </c>
      <c r="AM34" s="30">
        <v>1</v>
      </c>
      <c r="AN34" s="30">
        <v>2</v>
      </c>
      <c r="AO34" s="30">
        <v>3</v>
      </c>
      <c r="AP34" s="30">
        <v>4</v>
      </c>
      <c r="AQ34" s="30">
        <v>1</v>
      </c>
      <c r="AR34" s="30">
        <v>2</v>
      </c>
      <c r="AS34" s="30">
        <v>3</v>
      </c>
      <c r="AT34" s="30">
        <v>4</v>
      </c>
      <c r="AU34" s="30">
        <v>1</v>
      </c>
      <c r="AV34" s="30">
        <v>2</v>
      </c>
      <c r="AW34" s="30">
        <v>3</v>
      </c>
      <c r="AX34" s="30">
        <v>4</v>
      </c>
    </row>
    <row r="35" spans="1:50" x14ac:dyDescent="0.25">
      <c r="A35" s="67" t="s">
        <v>168</v>
      </c>
      <c r="B35" s="16" t="s">
        <v>173</v>
      </c>
      <c r="C35" s="43" t="s">
        <v>25</v>
      </c>
      <c r="D35" s="43" t="s">
        <v>25</v>
      </c>
      <c r="E35" s="43" t="s">
        <v>25</v>
      </c>
      <c r="F35" s="43" t="s">
        <v>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spans="1:50" x14ac:dyDescent="0.25">
      <c r="A36" s="67"/>
      <c r="B36" s="31" t="s">
        <v>174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</row>
    <row r="37" spans="1:50" x14ac:dyDescent="0.25">
      <c r="A37" s="67" t="s">
        <v>169</v>
      </c>
      <c r="B37" s="16" t="s">
        <v>173</v>
      </c>
      <c r="C37" s="16"/>
      <c r="D37" s="16"/>
      <c r="E37" s="16"/>
      <c r="F37" s="16"/>
      <c r="G37" s="43" t="s">
        <v>25</v>
      </c>
      <c r="H37" s="43" t="s">
        <v>25</v>
      </c>
      <c r="I37" s="43" t="s">
        <v>25</v>
      </c>
      <c r="J37" s="43" t="s">
        <v>25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spans="1:50" x14ac:dyDescent="0.25">
      <c r="A38" s="67"/>
      <c r="B38" s="31" t="s">
        <v>174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</row>
    <row r="39" spans="1:50" x14ac:dyDescent="0.25">
      <c r="A39" s="67" t="s">
        <v>170</v>
      </c>
      <c r="B39" s="16" t="s">
        <v>173</v>
      </c>
      <c r="C39" s="16"/>
      <c r="D39" s="16"/>
      <c r="E39" s="16"/>
      <c r="F39" s="16"/>
      <c r="G39" s="16"/>
      <c r="H39" s="16"/>
      <c r="I39" s="16"/>
      <c r="J39" s="16"/>
      <c r="K39" s="43" t="s">
        <v>25</v>
      </c>
      <c r="L39" s="43" t="s">
        <v>25</v>
      </c>
      <c r="M39" s="43" t="s">
        <v>25</v>
      </c>
      <c r="N39" s="43" t="s">
        <v>25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1:50" x14ac:dyDescent="0.25">
      <c r="A40" s="67"/>
      <c r="B40" s="31" t="s">
        <v>174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</row>
    <row r="41" spans="1:50" x14ac:dyDescent="0.25">
      <c r="A41" s="67" t="s">
        <v>171</v>
      </c>
      <c r="B41" s="16" t="s">
        <v>173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43" t="s">
        <v>25</v>
      </c>
      <c r="P41" s="43" t="s">
        <v>25</v>
      </c>
      <c r="Q41" s="43" t="s">
        <v>25</v>
      </c>
      <c r="R41" s="43" t="s">
        <v>25</v>
      </c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</row>
    <row r="42" spans="1:50" x14ac:dyDescent="0.25">
      <c r="A42" s="67"/>
      <c r="B42" s="31" t="s">
        <v>174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</row>
    <row r="43" spans="1:50" x14ac:dyDescent="0.25">
      <c r="A43" s="67" t="s">
        <v>172</v>
      </c>
      <c r="B43" s="16" t="s">
        <v>173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43" t="s">
        <v>25</v>
      </c>
      <c r="T43" s="43" t="s">
        <v>25</v>
      </c>
      <c r="U43" s="43" t="s">
        <v>25</v>
      </c>
      <c r="V43" s="43" t="s">
        <v>25</v>
      </c>
      <c r="W43" s="43" t="s">
        <v>25</v>
      </c>
      <c r="X43" s="43" t="s">
        <v>25</v>
      </c>
      <c r="Y43" s="43" t="s">
        <v>25</v>
      </c>
      <c r="Z43" s="43" t="s">
        <v>25</v>
      </c>
      <c r="AA43" s="43" t="s">
        <v>25</v>
      </c>
      <c r="AB43" s="43" t="s">
        <v>25</v>
      </c>
      <c r="AC43" s="43" t="s">
        <v>25</v>
      </c>
      <c r="AD43" s="43" t="s">
        <v>25</v>
      </c>
      <c r="AE43" s="43" t="s">
        <v>25</v>
      </c>
      <c r="AF43" s="43" t="s">
        <v>25</v>
      </c>
      <c r="AG43" s="43" t="s">
        <v>25</v>
      </c>
      <c r="AH43" s="43" t="s">
        <v>25</v>
      </c>
      <c r="AI43" s="43" t="s">
        <v>25</v>
      </c>
      <c r="AJ43" s="43" t="s">
        <v>25</v>
      </c>
      <c r="AK43" s="43" t="s">
        <v>25</v>
      </c>
      <c r="AL43" s="43" t="s">
        <v>25</v>
      </c>
      <c r="AM43" s="43" t="s">
        <v>25</v>
      </c>
      <c r="AN43" s="43" t="s">
        <v>25</v>
      </c>
      <c r="AO43" s="43" t="s">
        <v>25</v>
      </c>
      <c r="AP43" s="43" t="s">
        <v>25</v>
      </c>
      <c r="AQ43" s="43" t="s">
        <v>25</v>
      </c>
      <c r="AR43" s="43" t="s">
        <v>25</v>
      </c>
      <c r="AS43" s="43" t="s">
        <v>25</v>
      </c>
      <c r="AT43" s="43" t="s">
        <v>25</v>
      </c>
      <c r="AU43" s="43" t="s">
        <v>25</v>
      </c>
      <c r="AV43" s="43" t="s">
        <v>25</v>
      </c>
      <c r="AW43" s="43" t="s">
        <v>25</v>
      </c>
      <c r="AX43" s="43" t="s">
        <v>25</v>
      </c>
    </row>
    <row r="44" spans="1:50" x14ac:dyDescent="0.25">
      <c r="A44" s="67"/>
      <c r="B44" s="31" t="s">
        <v>174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</row>
    <row r="45" spans="1:50" x14ac:dyDescent="0.25">
      <c r="A45" s="35"/>
    </row>
    <row r="46" spans="1:50" x14ac:dyDescent="0.25">
      <c r="A46" s="35"/>
    </row>
    <row r="48" spans="1:50" x14ac:dyDescent="0.25">
      <c r="A48" s="15" t="s">
        <v>260</v>
      </c>
    </row>
    <row r="49" spans="1:16" x14ac:dyDescent="0.25">
      <c r="A49" s="1" t="s">
        <v>312</v>
      </c>
    </row>
    <row r="50" spans="1:16" x14ac:dyDescent="0.25">
      <c r="A50" s="1" t="s">
        <v>313</v>
      </c>
      <c r="J50" s="1" t="s">
        <v>305</v>
      </c>
    </row>
    <row r="51" spans="1:16" x14ac:dyDescent="0.25">
      <c r="A51" s="1" t="s">
        <v>314</v>
      </c>
      <c r="G51" s="1">
        <v>12</v>
      </c>
      <c r="H51" s="1" t="s">
        <v>290</v>
      </c>
      <c r="M51" s="64" t="s">
        <v>329</v>
      </c>
      <c r="N51" s="64"/>
      <c r="O51" s="64" t="s">
        <v>329</v>
      </c>
      <c r="P51" s="64"/>
    </row>
    <row r="52" spans="1:16" x14ac:dyDescent="0.25">
      <c r="A52" s="30" t="s">
        <v>261</v>
      </c>
      <c r="B52" s="29" t="s">
        <v>262</v>
      </c>
      <c r="C52" s="29" t="s">
        <v>263</v>
      </c>
      <c r="D52" s="29" t="s">
        <v>264</v>
      </c>
      <c r="E52" s="29" t="s">
        <v>265</v>
      </c>
      <c r="F52" s="29" t="s">
        <v>266</v>
      </c>
      <c r="G52" s="29" t="s">
        <v>267</v>
      </c>
      <c r="H52" s="29" t="s">
        <v>268</v>
      </c>
      <c r="I52" s="29" t="s">
        <v>269</v>
      </c>
      <c r="J52" s="10" t="s">
        <v>330</v>
      </c>
      <c r="K52" s="10" t="s">
        <v>331</v>
      </c>
      <c r="L52" s="10" t="s">
        <v>332</v>
      </c>
      <c r="M52" s="10" t="s">
        <v>333</v>
      </c>
      <c r="N52" s="10" t="s">
        <v>334</v>
      </c>
      <c r="O52" s="10" t="s">
        <v>333</v>
      </c>
      <c r="P52" s="10" t="s">
        <v>334</v>
      </c>
    </row>
    <row r="53" spans="1:16" x14ac:dyDescent="0.25">
      <c r="A53" s="6" t="s">
        <v>270</v>
      </c>
      <c r="B53" s="34">
        <v>138.25</v>
      </c>
      <c r="C53" s="34">
        <v>160.78</v>
      </c>
      <c r="D53" s="34">
        <v>210.84</v>
      </c>
      <c r="E53" s="34">
        <v>364.1</v>
      </c>
      <c r="F53" s="34">
        <v>135.6</v>
      </c>
      <c r="G53" s="34">
        <v>145.65</v>
      </c>
      <c r="H53" s="34">
        <v>184.6</v>
      </c>
      <c r="I53" s="34">
        <v>136.4</v>
      </c>
      <c r="J53" s="44">
        <f>AVERAGE(B53:I53)</f>
        <v>184.5275</v>
      </c>
      <c r="K53" s="45">
        <f>+J53*$G$51</f>
        <v>2214.33</v>
      </c>
      <c r="L53" s="44">
        <f>(MAX(B53:I53)-MIN(B53:I53))*$G$51</f>
        <v>2742.0000000000005</v>
      </c>
      <c r="M53" s="46">
        <f>+E82</f>
        <v>1926.8439119999998</v>
      </c>
      <c r="N53" s="46">
        <f>+E81</f>
        <v>3284.5310879999993</v>
      </c>
      <c r="O53" s="46">
        <f>+D104</f>
        <v>247.51401599999997</v>
      </c>
      <c r="P53" s="46">
        <f>+D105</f>
        <v>3501.5953439999994</v>
      </c>
    </row>
    <row r="54" spans="1:16" x14ac:dyDescent="0.25">
      <c r="A54" s="6" t="s">
        <v>271</v>
      </c>
      <c r="B54" s="34">
        <v>120.45</v>
      </c>
      <c r="C54" s="34">
        <v>146.30000000000001</v>
      </c>
      <c r="D54" s="34">
        <v>165.4</v>
      </c>
      <c r="E54" s="34">
        <v>184.36</v>
      </c>
      <c r="F54" s="34">
        <v>126.8</v>
      </c>
      <c r="G54" s="34">
        <v>140.65</v>
      </c>
      <c r="H54" s="34">
        <v>124.98</v>
      </c>
      <c r="I54" s="34">
        <v>113.7</v>
      </c>
      <c r="J54" s="44">
        <f t="shared" ref="J54:J72" si="0">AVERAGE(B54:I54)</f>
        <v>140.32999999999998</v>
      </c>
      <c r="K54" s="45">
        <f t="shared" ref="K54:K72" si="1">+J54*$G$51</f>
        <v>1683.9599999999998</v>
      </c>
      <c r="L54" s="44">
        <f t="shared" ref="L54:L72" si="2">(MAX(B54:I54)-MIN(B54:I54))*$G$51</f>
        <v>847.92000000000007</v>
      </c>
      <c r="M54" s="46">
        <f>+M53</f>
        <v>1926.8439119999998</v>
      </c>
      <c r="N54" s="46">
        <f>+N53</f>
        <v>3284.5310879999993</v>
      </c>
      <c r="O54" s="46">
        <f>+O53</f>
        <v>247.51401599999997</v>
      </c>
      <c r="P54" s="46">
        <f>+P53</f>
        <v>3501.5953439999994</v>
      </c>
    </row>
    <row r="55" spans="1:16" x14ac:dyDescent="0.25">
      <c r="A55" s="6" t="s">
        <v>272</v>
      </c>
      <c r="B55" s="34">
        <v>245.6</v>
      </c>
      <c r="C55" s="34">
        <v>216.8</v>
      </c>
      <c r="D55" s="34">
        <v>220.6</v>
      </c>
      <c r="E55" s="34">
        <v>190.63</v>
      </c>
      <c r="F55" s="34">
        <v>245.61</v>
      </c>
      <c r="G55" s="34">
        <v>360.5</v>
      </c>
      <c r="H55" s="34">
        <v>150.6</v>
      </c>
      <c r="I55" s="34">
        <v>265.33999999999997</v>
      </c>
      <c r="J55" s="44">
        <f t="shared" si="0"/>
        <v>236.95999999999998</v>
      </c>
      <c r="K55" s="45">
        <f t="shared" si="1"/>
        <v>2843.5199999999995</v>
      </c>
      <c r="L55" s="44">
        <f t="shared" si="2"/>
        <v>2518.8000000000002</v>
      </c>
      <c r="M55" s="46">
        <f t="shared" ref="M55:P70" si="3">+M54</f>
        <v>1926.8439119999998</v>
      </c>
      <c r="N55" s="46">
        <f t="shared" si="3"/>
        <v>3284.5310879999993</v>
      </c>
      <c r="O55" s="46">
        <f t="shared" si="3"/>
        <v>247.51401599999997</v>
      </c>
      <c r="P55" s="46">
        <f t="shared" si="3"/>
        <v>3501.5953439999994</v>
      </c>
    </row>
    <row r="56" spans="1:16" x14ac:dyDescent="0.25">
      <c r="A56" s="6" t="s">
        <v>273</v>
      </c>
      <c r="B56" s="34">
        <v>265.56</v>
      </c>
      <c r="C56" s="34">
        <v>284.98</v>
      </c>
      <c r="D56" s="34">
        <v>210.65</v>
      </c>
      <c r="E56" s="34">
        <v>165.45</v>
      </c>
      <c r="F56" s="34">
        <v>215.89</v>
      </c>
      <c r="G56" s="34">
        <v>302.60000000000002</v>
      </c>
      <c r="H56" s="34">
        <v>209.4</v>
      </c>
      <c r="I56" s="34">
        <v>231.9</v>
      </c>
      <c r="J56" s="44">
        <f t="shared" si="0"/>
        <v>235.80374999999998</v>
      </c>
      <c r="K56" s="45">
        <f t="shared" si="1"/>
        <v>2829.6449999999995</v>
      </c>
      <c r="L56" s="44">
        <f t="shared" si="2"/>
        <v>1645.8000000000004</v>
      </c>
      <c r="M56" s="46">
        <f t="shared" si="3"/>
        <v>1926.8439119999998</v>
      </c>
      <c r="N56" s="46">
        <f t="shared" si="3"/>
        <v>3284.5310879999993</v>
      </c>
      <c r="O56" s="46">
        <f t="shared" si="3"/>
        <v>247.51401599999997</v>
      </c>
      <c r="P56" s="46">
        <f t="shared" si="3"/>
        <v>3501.5953439999994</v>
      </c>
    </row>
    <row r="57" spans="1:16" x14ac:dyDescent="0.25">
      <c r="A57" s="6" t="s">
        <v>274</v>
      </c>
      <c r="B57" s="34">
        <v>214.6</v>
      </c>
      <c r="C57" s="34">
        <v>216.5</v>
      </c>
      <c r="D57" s="34">
        <v>206.5</v>
      </c>
      <c r="E57" s="34">
        <v>198.46</v>
      </c>
      <c r="F57" s="34">
        <v>206.5</v>
      </c>
      <c r="G57" s="34">
        <v>208.48</v>
      </c>
      <c r="H57" s="34">
        <v>310.39999999999998</v>
      </c>
      <c r="I57" s="34">
        <v>306.39999999999998</v>
      </c>
      <c r="J57" s="44">
        <f t="shared" si="0"/>
        <v>233.48000000000002</v>
      </c>
      <c r="K57" s="45">
        <f t="shared" si="1"/>
        <v>2801.76</v>
      </c>
      <c r="L57" s="44">
        <f t="shared" si="2"/>
        <v>1343.2799999999997</v>
      </c>
      <c r="M57" s="46">
        <f t="shared" si="3"/>
        <v>1926.8439119999998</v>
      </c>
      <c r="N57" s="46">
        <f t="shared" si="3"/>
        <v>3284.5310879999993</v>
      </c>
      <c r="O57" s="46">
        <f t="shared" si="3"/>
        <v>247.51401599999997</v>
      </c>
      <c r="P57" s="46">
        <f t="shared" si="3"/>
        <v>3501.5953439999994</v>
      </c>
    </row>
    <row r="58" spans="1:16" x14ac:dyDescent="0.25">
      <c r="A58" s="6" t="s">
        <v>275</v>
      </c>
      <c r="B58" s="34">
        <v>189.45</v>
      </c>
      <c r="C58" s="34">
        <v>210.87</v>
      </c>
      <c r="D58" s="34">
        <v>212.65</v>
      </c>
      <c r="E58" s="34">
        <v>214.65</v>
      </c>
      <c r="F58" s="34">
        <v>215.6</v>
      </c>
      <c r="G58" s="34">
        <v>218.6</v>
      </c>
      <c r="H58" s="34">
        <v>254.6</v>
      </c>
      <c r="I58" s="34">
        <v>301.60000000000002</v>
      </c>
      <c r="J58" s="44">
        <f t="shared" si="0"/>
        <v>227.2525</v>
      </c>
      <c r="K58" s="45">
        <f t="shared" si="1"/>
        <v>2727.0299999999997</v>
      </c>
      <c r="L58" s="44">
        <f t="shared" si="2"/>
        <v>1345.8000000000004</v>
      </c>
      <c r="M58" s="46">
        <f t="shared" si="3"/>
        <v>1926.8439119999998</v>
      </c>
      <c r="N58" s="46">
        <f t="shared" si="3"/>
        <v>3284.5310879999993</v>
      </c>
      <c r="O58" s="46">
        <f t="shared" si="3"/>
        <v>247.51401599999997</v>
      </c>
      <c r="P58" s="46">
        <f t="shared" si="3"/>
        <v>3501.5953439999994</v>
      </c>
    </row>
    <row r="59" spans="1:16" x14ac:dyDescent="0.25">
      <c r="A59" s="6" t="s">
        <v>276</v>
      </c>
      <c r="B59" s="34">
        <v>246.7</v>
      </c>
      <c r="C59" s="34">
        <v>249.5</v>
      </c>
      <c r="D59" s="34">
        <v>184.6</v>
      </c>
      <c r="E59" s="34">
        <v>310.60000000000002</v>
      </c>
      <c r="F59" s="34">
        <v>256.2</v>
      </c>
      <c r="G59" s="34">
        <v>314.60000000000002</v>
      </c>
      <c r="H59" s="34">
        <v>184.6</v>
      </c>
      <c r="I59" s="34">
        <v>210.5</v>
      </c>
      <c r="J59" s="44">
        <f t="shared" si="0"/>
        <v>244.66249999999997</v>
      </c>
      <c r="K59" s="45">
        <f t="shared" si="1"/>
        <v>2935.95</v>
      </c>
      <c r="L59" s="44">
        <f t="shared" si="2"/>
        <v>1560.0000000000005</v>
      </c>
      <c r="M59" s="46">
        <f t="shared" si="3"/>
        <v>1926.8439119999998</v>
      </c>
      <c r="N59" s="46">
        <f t="shared" si="3"/>
        <v>3284.5310879999993</v>
      </c>
      <c r="O59" s="46">
        <f t="shared" si="3"/>
        <v>247.51401599999997</v>
      </c>
      <c r="P59" s="46">
        <f t="shared" si="3"/>
        <v>3501.5953439999994</v>
      </c>
    </row>
    <row r="60" spans="1:16" x14ac:dyDescent="0.25">
      <c r="A60" s="6" t="s">
        <v>277</v>
      </c>
      <c r="B60" s="34">
        <v>165.48</v>
      </c>
      <c r="C60" s="34">
        <v>184.6</v>
      </c>
      <c r="D60" s="34">
        <v>200.6</v>
      </c>
      <c r="E60" s="34">
        <v>300.8</v>
      </c>
      <c r="F60" s="34">
        <v>200.48</v>
      </c>
      <c r="G60" s="34">
        <v>165.84</v>
      </c>
      <c r="H60" s="34">
        <v>136.44999999999999</v>
      </c>
      <c r="I60" s="34">
        <v>164.25</v>
      </c>
      <c r="J60" s="44">
        <f t="shared" si="0"/>
        <v>189.8125</v>
      </c>
      <c r="K60" s="45">
        <f t="shared" si="1"/>
        <v>2277.75</v>
      </c>
      <c r="L60" s="44">
        <f t="shared" si="2"/>
        <v>1972.2000000000003</v>
      </c>
      <c r="M60" s="46">
        <f t="shared" si="3"/>
        <v>1926.8439119999998</v>
      </c>
      <c r="N60" s="46">
        <f t="shared" si="3"/>
        <v>3284.5310879999993</v>
      </c>
      <c r="O60" s="46">
        <f t="shared" si="3"/>
        <v>247.51401599999997</v>
      </c>
      <c r="P60" s="46">
        <f t="shared" si="3"/>
        <v>3501.5953439999994</v>
      </c>
    </row>
    <row r="61" spans="1:16" x14ac:dyDescent="0.25">
      <c r="A61" s="6" t="s">
        <v>278</v>
      </c>
      <c r="B61" s="34">
        <v>178.46</v>
      </c>
      <c r="C61" s="34">
        <v>310.8</v>
      </c>
      <c r="D61" s="34">
        <v>190.6</v>
      </c>
      <c r="E61" s="34">
        <v>312.60000000000002</v>
      </c>
      <c r="F61" s="34">
        <v>306.2</v>
      </c>
      <c r="G61" s="34">
        <v>148.36000000000001</v>
      </c>
      <c r="H61" s="34">
        <v>165.4</v>
      </c>
      <c r="I61" s="34">
        <v>129.4</v>
      </c>
      <c r="J61" s="44">
        <f t="shared" si="0"/>
        <v>217.72750000000002</v>
      </c>
      <c r="K61" s="45">
        <f t="shared" si="1"/>
        <v>2612.7300000000005</v>
      </c>
      <c r="L61" s="44">
        <f t="shared" si="2"/>
        <v>2198.4</v>
      </c>
      <c r="M61" s="46">
        <f t="shared" si="3"/>
        <v>1926.8439119999998</v>
      </c>
      <c r="N61" s="46">
        <f t="shared" si="3"/>
        <v>3284.5310879999993</v>
      </c>
      <c r="O61" s="46">
        <f t="shared" si="3"/>
        <v>247.51401599999997</v>
      </c>
      <c r="P61" s="46">
        <f t="shared" si="3"/>
        <v>3501.5953439999994</v>
      </c>
    </row>
    <row r="62" spans="1:16" x14ac:dyDescent="0.25">
      <c r="A62" s="6" t="s">
        <v>279</v>
      </c>
      <c r="B62" s="34">
        <v>210.65</v>
      </c>
      <c r="C62" s="34">
        <v>316.39999999999998</v>
      </c>
      <c r="D62" s="34">
        <v>321.14999999999998</v>
      </c>
      <c r="E62" s="34">
        <v>164.58</v>
      </c>
      <c r="F62" s="34">
        <v>203.4</v>
      </c>
      <c r="G62" s="34">
        <v>200.16</v>
      </c>
      <c r="H62" s="34">
        <v>178.4</v>
      </c>
      <c r="I62" s="34">
        <v>206.4</v>
      </c>
      <c r="J62" s="44">
        <f t="shared" si="0"/>
        <v>225.14250000000004</v>
      </c>
      <c r="K62" s="45">
        <f t="shared" si="1"/>
        <v>2701.7100000000005</v>
      </c>
      <c r="L62" s="44">
        <f t="shared" si="2"/>
        <v>1878.8399999999997</v>
      </c>
      <c r="M62" s="46">
        <f t="shared" si="3"/>
        <v>1926.8439119999998</v>
      </c>
      <c r="N62" s="46">
        <f t="shared" si="3"/>
        <v>3284.5310879999993</v>
      </c>
      <c r="O62" s="46">
        <f t="shared" si="3"/>
        <v>247.51401599999997</v>
      </c>
      <c r="P62" s="46">
        <f t="shared" si="3"/>
        <v>3501.5953439999994</v>
      </c>
    </row>
    <row r="63" spans="1:16" x14ac:dyDescent="0.25">
      <c r="A63" s="6" t="s">
        <v>280</v>
      </c>
      <c r="B63" s="34">
        <v>216.98</v>
      </c>
      <c r="C63" s="34">
        <v>308.39999999999998</v>
      </c>
      <c r="D63" s="34">
        <v>164.8</v>
      </c>
      <c r="E63" s="34">
        <v>194.76</v>
      </c>
      <c r="F63" s="34">
        <v>188.7</v>
      </c>
      <c r="G63" s="34">
        <v>195.46</v>
      </c>
      <c r="H63" s="34">
        <v>198.46</v>
      </c>
      <c r="I63" s="34">
        <v>198.45</v>
      </c>
      <c r="J63" s="44">
        <f t="shared" si="0"/>
        <v>208.25125000000003</v>
      </c>
      <c r="K63" s="45">
        <f t="shared" si="1"/>
        <v>2499.0150000000003</v>
      </c>
      <c r="L63" s="44">
        <f t="shared" si="2"/>
        <v>1723.1999999999996</v>
      </c>
      <c r="M63" s="46">
        <f t="shared" si="3"/>
        <v>1926.8439119999998</v>
      </c>
      <c r="N63" s="46">
        <f t="shared" si="3"/>
        <v>3284.5310879999993</v>
      </c>
      <c r="O63" s="46">
        <f t="shared" si="3"/>
        <v>247.51401599999997</v>
      </c>
      <c r="P63" s="46">
        <f t="shared" si="3"/>
        <v>3501.5953439999994</v>
      </c>
    </row>
    <row r="64" spans="1:16" x14ac:dyDescent="0.25">
      <c r="A64" s="6" t="s">
        <v>281</v>
      </c>
      <c r="B64" s="34">
        <v>313.39999999999998</v>
      </c>
      <c r="C64" s="34">
        <v>214.8</v>
      </c>
      <c r="D64" s="34">
        <v>102.6</v>
      </c>
      <c r="E64" s="34">
        <v>200.45</v>
      </c>
      <c r="F64" s="34">
        <v>164.53</v>
      </c>
      <c r="G64" s="34">
        <v>184.63</v>
      </c>
      <c r="H64" s="34">
        <v>236.45</v>
      </c>
      <c r="I64" s="34">
        <v>300.45</v>
      </c>
      <c r="J64" s="44">
        <f t="shared" si="0"/>
        <v>214.66374999999999</v>
      </c>
      <c r="K64" s="45">
        <f t="shared" si="1"/>
        <v>2575.9650000000001</v>
      </c>
      <c r="L64" s="44">
        <f t="shared" si="2"/>
        <v>2529.6</v>
      </c>
      <c r="M64" s="46">
        <f t="shared" si="3"/>
        <v>1926.8439119999998</v>
      </c>
      <c r="N64" s="46">
        <f t="shared" si="3"/>
        <v>3284.5310879999993</v>
      </c>
      <c r="O64" s="46">
        <f t="shared" si="3"/>
        <v>247.51401599999997</v>
      </c>
      <c r="P64" s="46">
        <f t="shared" si="3"/>
        <v>3501.5953439999994</v>
      </c>
    </row>
    <row r="65" spans="1:16" x14ac:dyDescent="0.25">
      <c r="A65" s="6" t="s">
        <v>282</v>
      </c>
      <c r="B65" s="34">
        <v>283.39999999999998</v>
      </c>
      <c r="C65" s="34">
        <v>210.65</v>
      </c>
      <c r="D65" s="34">
        <v>218.4</v>
      </c>
      <c r="E65" s="34">
        <v>194.6</v>
      </c>
      <c r="F65" s="34">
        <v>230.48</v>
      </c>
      <c r="G65" s="34">
        <v>214.68</v>
      </c>
      <c r="H65" s="34">
        <v>189.48</v>
      </c>
      <c r="I65" s="34">
        <v>246.7</v>
      </c>
      <c r="J65" s="44">
        <f t="shared" si="0"/>
        <v>223.54875000000001</v>
      </c>
      <c r="K65" s="45">
        <f t="shared" si="1"/>
        <v>2682.585</v>
      </c>
      <c r="L65" s="44">
        <f t="shared" si="2"/>
        <v>1127.04</v>
      </c>
      <c r="M65" s="46">
        <f t="shared" si="3"/>
        <v>1926.8439119999998</v>
      </c>
      <c r="N65" s="46">
        <f t="shared" si="3"/>
        <v>3284.5310879999993</v>
      </c>
      <c r="O65" s="46">
        <f t="shared" si="3"/>
        <v>247.51401599999997</v>
      </c>
      <c r="P65" s="46">
        <f t="shared" si="3"/>
        <v>3501.5953439999994</v>
      </c>
    </row>
    <row r="66" spans="1:16" x14ac:dyDescent="0.25">
      <c r="A66" s="6" t="s">
        <v>283</v>
      </c>
      <c r="B66" s="34">
        <v>165.4</v>
      </c>
      <c r="C66" s="34">
        <v>136.4</v>
      </c>
      <c r="D66" s="34">
        <v>309.39999999999998</v>
      </c>
      <c r="E66" s="34">
        <v>148.65</v>
      </c>
      <c r="F66" s="34">
        <v>245.6</v>
      </c>
      <c r="G66" s="34">
        <v>216.48</v>
      </c>
      <c r="H66" s="34">
        <v>236.45</v>
      </c>
      <c r="I66" s="34">
        <v>218</v>
      </c>
      <c r="J66" s="44">
        <f t="shared" si="0"/>
        <v>209.54750000000001</v>
      </c>
      <c r="K66" s="45">
        <f t="shared" si="1"/>
        <v>2514.5700000000002</v>
      </c>
      <c r="L66" s="44">
        <f t="shared" si="2"/>
        <v>2075.9999999999995</v>
      </c>
      <c r="M66" s="46">
        <f t="shared" si="3"/>
        <v>1926.8439119999998</v>
      </c>
      <c r="N66" s="46">
        <f t="shared" si="3"/>
        <v>3284.5310879999993</v>
      </c>
      <c r="O66" s="46">
        <f t="shared" si="3"/>
        <v>247.51401599999997</v>
      </c>
      <c r="P66" s="46">
        <f t="shared" si="3"/>
        <v>3501.5953439999994</v>
      </c>
    </row>
    <row r="67" spans="1:16" x14ac:dyDescent="0.25">
      <c r="A67" s="6" t="s">
        <v>284</v>
      </c>
      <c r="B67" s="34">
        <v>198.4</v>
      </c>
      <c r="C67" s="34">
        <v>145.19999999999999</v>
      </c>
      <c r="D67" s="34">
        <v>264.3</v>
      </c>
      <c r="E67" s="34">
        <v>204.65</v>
      </c>
      <c r="F67" s="34">
        <v>165.4</v>
      </c>
      <c r="G67" s="34">
        <v>360.4</v>
      </c>
      <c r="H67" s="34">
        <v>289.41000000000003</v>
      </c>
      <c r="I67" s="34">
        <v>246.78</v>
      </c>
      <c r="J67" s="44">
        <f t="shared" si="0"/>
        <v>234.3175</v>
      </c>
      <c r="K67" s="45">
        <f t="shared" si="1"/>
        <v>2811.81</v>
      </c>
      <c r="L67" s="44">
        <f t="shared" si="2"/>
        <v>2582.3999999999996</v>
      </c>
      <c r="M67" s="46">
        <f t="shared" si="3"/>
        <v>1926.8439119999998</v>
      </c>
      <c r="N67" s="46">
        <f t="shared" si="3"/>
        <v>3284.5310879999993</v>
      </c>
      <c r="O67" s="46">
        <f t="shared" si="3"/>
        <v>247.51401599999997</v>
      </c>
      <c r="P67" s="46">
        <f t="shared" si="3"/>
        <v>3501.5953439999994</v>
      </c>
    </row>
    <row r="68" spans="1:16" x14ac:dyDescent="0.25">
      <c r="A68" s="6" t="s">
        <v>285</v>
      </c>
      <c r="B68" s="34">
        <v>264.8</v>
      </c>
      <c r="C68" s="34">
        <v>186.4</v>
      </c>
      <c r="D68" s="34">
        <v>234.5</v>
      </c>
      <c r="E68" s="34">
        <v>185.6</v>
      </c>
      <c r="F68" s="34">
        <v>176.1</v>
      </c>
      <c r="G68" s="34">
        <v>194.6</v>
      </c>
      <c r="H68" s="34">
        <v>306.77999999999997</v>
      </c>
      <c r="I68" s="34">
        <v>264.58999999999997</v>
      </c>
      <c r="J68" s="44">
        <f t="shared" si="0"/>
        <v>226.67124999999999</v>
      </c>
      <c r="K68" s="45">
        <f t="shared" si="1"/>
        <v>2720.0549999999998</v>
      </c>
      <c r="L68" s="44">
        <f t="shared" si="2"/>
        <v>1568.1599999999999</v>
      </c>
      <c r="M68" s="46">
        <f t="shared" si="3"/>
        <v>1926.8439119999998</v>
      </c>
      <c r="N68" s="46">
        <f t="shared" si="3"/>
        <v>3284.5310879999993</v>
      </c>
      <c r="O68" s="46">
        <f t="shared" si="3"/>
        <v>247.51401599999997</v>
      </c>
      <c r="P68" s="46">
        <f t="shared" si="3"/>
        <v>3501.5953439999994</v>
      </c>
    </row>
    <row r="69" spans="1:16" x14ac:dyDescent="0.25">
      <c r="A69" s="6" t="s">
        <v>286</v>
      </c>
      <c r="B69" s="34">
        <v>266.8</v>
      </c>
      <c r="C69" s="34">
        <v>189.4</v>
      </c>
      <c r="D69" s="34">
        <v>257.10000000000002</v>
      </c>
      <c r="E69" s="34">
        <v>210.5</v>
      </c>
      <c r="F69" s="34">
        <v>184.6</v>
      </c>
      <c r="G69" s="34">
        <v>206.7</v>
      </c>
      <c r="H69" s="34">
        <v>300.45</v>
      </c>
      <c r="I69" s="34">
        <v>243.1</v>
      </c>
      <c r="J69" s="44">
        <f t="shared" si="0"/>
        <v>232.33125000000001</v>
      </c>
      <c r="K69" s="45">
        <f t="shared" si="1"/>
        <v>2787.9750000000004</v>
      </c>
      <c r="L69" s="44">
        <f t="shared" si="2"/>
        <v>1390.1999999999998</v>
      </c>
      <c r="M69" s="46">
        <f t="shared" si="3"/>
        <v>1926.8439119999998</v>
      </c>
      <c r="N69" s="46">
        <f t="shared" si="3"/>
        <v>3284.5310879999993</v>
      </c>
      <c r="O69" s="46">
        <f t="shared" si="3"/>
        <v>247.51401599999997</v>
      </c>
      <c r="P69" s="46">
        <f t="shared" si="3"/>
        <v>3501.5953439999994</v>
      </c>
    </row>
    <row r="70" spans="1:16" x14ac:dyDescent="0.25">
      <c r="A70" s="6" t="s">
        <v>287</v>
      </c>
      <c r="B70" s="34">
        <v>304.89999999999998</v>
      </c>
      <c r="C70" s="34">
        <v>175.6</v>
      </c>
      <c r="D70" s="34">
        <v>150.80000000000001</v>
      </c>
      <c r="E70" s="34">
        <v>205.4</v>
      </c>
      <c r="F70" s="34">
        <v>164.36</v>
      </c>
      <c r="G70" s="34">
        <v>189.4</v>
      </c>
      <c r="H70" s="34">
        <v>160.44999999999999</v>
      </c>
      <c r="I70" s="34">
        <v>230.18</v>
      </c>
      <c r="J70" s="44">
        <f t="shared" si="0"/>
        <v>197.63625000000002</v>
      </c>
      <c r="K70" s="45">
        <f t="shared" si="1"/>
        <v>2371.6350000000002</v>
      </c>
      <c r="L70" s="44">
        <f t="shared" si="2"/>
        <v>1849.1999999999996</v>
      </c>
      <c r="M70" s="46">
        <f t="shared" si="3"/>
        <v>1926.8439119999998</v>
      </c>
      <c r="N70" s="46">
        <f t="shared" si="3"/>
        <v>3284.5310879999993</v>
      </c>
      <c r="O70" s="46">
        <f t="shared" si="3"/>
        <v>247.51401599999997</v>
      </c>
      <c r="P70" s="46">
        <f t="shared" si="3"/>
        <v>3501.5953439999994</v>
      </c>
    </row>
    <row r="71" spans="1:16" x14ac:dyDescent="0.25">
      <c r="A71" s="6" t="s">
        <v>288</v>
      </c>
      <c r="B71" s="34">
        <v>165.1</v>
      </c>
      <c r="C71" s="34">
        <v>213.5</v>
      </c>
      <c r="D71" s="34">
        <v>200.8</v>
      </c>
      <c r="E71" s="34">
        <v>164.8</v>
      </c>
      <c r="F71" s="34">
        <v>206.7</v>
      </c>
      <c r="G71" s="34">
        <v>194.8</v>
      </c>
      <c r="H71" s="34">
        <v>258.39999999999998</v>
      </c>
      <c r="I71" s="34">
        <v>254.18</v>
      </c>
      <c r="J71" s="44">
        <f t="shared" si="0"/>
        <v>207.285</v>
      </c>
      <c r="K71" s="45">
        <f t="shared" si="1"/>
        <v>2487.42</v>
      </c>
      <c r="L71" s="44">
        <f t="shared" si="2"/>
        <v>1123.1999999999996</v>
      </c>
      <c r="M71" s="46">
        <f t="shared" ref="M71:P72" si="4">+M70</f>
        <v>1926.8439119999998</v>
      </c>
      <c r="N71" s="46">
        <f t="shared" si="4"/>
        <v>3284.5310879999993</v>
      </c>
      <c r="O71" s="46">
        <f t="shared" si="4"/>
        <v>247.51401599999997</v>
      </c>
      <c r="P71" s="46">
        <f t="shared" si="4"/>
        <v>3501.5953439999994</v>
      </c>
    </row>
    <row r="72" spans="1:16" x14ac:dyDescent="0.25">
      <c r="A72" s="6" t="s">
        <v>289</v>
      </c>
      <c r="B72" s="34">
        <v>285.39999999999998</v>
      </c>
      <c r="C72" s="34">
        <v>306.7</v>
      </c>
      <c r="D72" s="34">
        <v>194.3</v>
      </c>
      <c r="E72" s="34">
        <v>112.36</v>
      </c>
      <c r="F72" s="34">
        <v>310.45</v>
      </c>
      <c r="G72" s="34">
        <v>245.1</v>
      </c>
      <c r="H72" s="34">
        <v>260.48</v>
      </c>
      <c r="I72" s="34">
        <v>308.10000000000002</v>
      </c>
      <c r="J72" s="44">
        <f t="shared" si="0"/>
        <v>252.86124999999998</v>
      </c>
      <c r="K72" s="45">
        <f t="shared" si="1"/>
        <v>3034.335</v>
      </c>
      <c r="L72" s="44">
        <f t="shared" si="2"/>
        <v>2377.08</v>
      </c>
      <c r="M72" s="46">
        <f t="shared" si="4"/>
        <v>1926.8439119999998</v>
      </c>
      <c r="N72" s="46">
        <f t="shared" si="4"/>
        <v>3284.5310879999993</v>
      </c>
      <c r="O72" s="46">
        <f t="shared" si="4"/>
        <v>247.51401599999997</v>
      </c>
      <c r="P72" s="46">
        <f t="shared" si="4"/>
        <v>3501.5953439999994</v>
      </c>
    </row>
    <row r="73" spans="1:16" x14ac:dyDescent="0.25">
      <c r="K73" s="40">
        <f>SUM(K53:K72)</f>
        <v>52113.749999999993</v>
      </c>
      <c r="L73" s="40">
        <f>SUM(L53:L72)</f>
        <v>36399.119999999995</v>
      </c>
    </row>
    <row r="74" spans="1:16" x14ac:dyDescent="0.25">
      <c r="A74" s="35" t="s">
        <v>316</v>
      </c>
      <c r="G74" s="15" t="s">
        <v>315</v>
      </c>
      <c r="K74" s="1">
        <f>+K73/20</f>
        <v>2605.6874999999995</v>
      </c>
      <c r="L74" s="1">
        <f>+L73/20</f>
        <v>1819.9559999999997</v>
      </c>
    </row>
    <row r="75" spans="1:16" x14ac:dyDescent="0.25">
      <c r="A75" s="35" t="s">
        <v>291</v>
      </c>
    </row>
    <row r="77" spans="1:16" x14ac:dyDescent="0.25">
      <c r="A77" s="47" t="s">
        <v>335</v>
      </c>
      <c r="B77" s="37"/>
    </row>
    <row r="79" spans="1:16" x14ac:dyDescent="0.25">
      <c r="D79" s="15" t="s">
        <v>336</v>
      </c>
    </row>
    <row r="80" spans="1:16" x14ac:dyDescent="0.25">
      <c r="D80" s="1" t="s">
        <v>337</v>
      </c>
      <c r="E80" s="1">
        <v>0.373</v>
      </c>
    </row>
    <row r="81" spans="4:5" x14ac:dyDescent="0.25">
      <c r="D81" s="1" t="s">
        <v>338</v>
      </c>
      <c r="E81" s="39">
        <f>+K74+E80*L74</f>
        <v>3284.5310879999993</v>
      </c>
    </row>
    <row r="82" spans="4:5" x14ac:dyDescent="0.25">
      <c r="D82" s="1" t="s">
        <v>333</v>
      </c>
      <c r="E82" s="39">
        <f>+K74-E80*L74</f>
        <v>1926.8439119999998</v>
      </c>
    </row>
    <row r="98" spans="1:4" x14ac:dyDescent="0.25">
      <c r="A98" s="47" t="s">
        <v>339</v>
      </c>
      <c r="B98" s="37"/>
    </row>
    <row r="100" spans="1:4" x14ac:dyDescent="0.25">
      <c r="C100" s="1" t="s">
        <v>340</v>
      </c>
    </row>
    <row r="101" spans="1:4" x14ac:dyDescent="0.25">
      <c r="C101" s="1" t="s">
        <v>341</v>
      </c>
      <c r="D101" s="1">
        <v>0.13600000000000001</v>
      </c>
    </row>
    <row r="102" spans="1:4" x14ac:dyDescent="0.25">
      <c r="C102" s="1" t="s">
        <v>342</v>
      </c>
      <c r="D102" s="1">
        <v>1.9239999999999999</v>
      </c>
    </row>
    <row r="104" spans="1:4" x14ac:dyDescent="0.25">
      <c r="C104" s="1" t="s">
        <v>333</v>
      </c>
      <c r="D104" s="39">
        <f>+D101*L74</f>
        <v>247.51401599999997</v>
      </c>
    </row>
    <row r="105" spans="1:4" x14ac:dyDescent="0.25">
      <c r="C105" s="1" t="s">
        <v>338</v>
      </c>
      <c r="D105" s="39">
        <f>+D102*L74</f>
        <v>3501.5953439999994</v>
      </c>
    </row>
    <row r="113" spans="1:8" x14ac:dyDescent="0.25">
      <c r="A113" s="48" t="s">
        <v>343</v>
      </c>
      <c r="B113" s="37"/>
    </row>
    <row r="114" spans="1:8" x14ac:dyDescent="0.25">
      <c r="A114" s="49"/>
      <c r="B114" s="49" t="s">
        <v>344</v>
      </c>
      <c r="C114"/>
    </row>
    <row r="116" spans="1:8" x14ac:dyDescent="0.25">
      <c r="E116" s="50" t="s">
        <v>345</v>
      </c>
      <c r="F116" s="51">
        <f>_xlfn.STDEV.S(B53:I72)*G51</f>
        <v>680.1049635776908</v>
      </c>
      <c r="G116" s="52" t="s">
        <v>346</v>
      </c>
      <c r="H116" s="52">
        <f>+K74+F117*F116</f>
        <v>4646.0023907330724</v>
      </c>
    </row>
    <row r="117" spans="1:8" x14ac:dyDescent="0.25">
      <c r="E117" s="50" t="s">
        <v>347</v>
      </c>
      <c r="F117" s="53">
        <v>3</v>
      </c>
      <c r="G117" s="52" t="s">
        <v>348</v>
      </c>
      <c r="H117" s="52">
        <f>+K74-F117*F116</f>
        <v>565.37260926692716</v>
      </c>
    </row>
    <row r="121" spans="1:8" x14ac:dyDescent="0.25">
      <c r="E121" s="48" t="s">
        <v>349</v>
      </c>
      <c r="F121" s="48">
        <f>(H116-H117)/(6*C124)</f>
        <v>1.0639041995002549</v>
      </c>
    </row>
    <row r="122" spans="1:8" x14ac:dyDescent="0.25">
      <c r="B122" s="1" t="s">
        <v>350</v>
      </c>
      <c r="C122" s="1">
        <v>2.847</v>
      </c>
    </row>
    <row r="124" spans="1:8" x14ac:dyDescent="0.25">
      <c r="B124" s="1" t="s">
        <v>351</v>
      </c>
      <c r="C124" s="1">
        <f>+L74/C122</f>
        <v>639.25395152792407</v>
      </c>
    </row>
    <row r="126" spans="1:8" x14ac:dyDescent="0.25">
      <c r="B126" s="15" t="s">
        <v>352</v>
      </c>
    </row>
    <row r="127" spans="1:8" x14ac:dyDescent="0.25">
      <c r="F127" s="54" t="s">
        <v>25</v>
      </c>
      <c r="G127" s="54">
        <f>+K74</f>
        <v>2605.6874999999995</v>
      </c>
    </row>
    <row r="128" spans="1:8" x14ac:dyDescent="0.25">
      <c r="F128" s="54" t="s">
        <v>346</v>
      </c>
      <c r="G128" s="54">
        <f>+H116</f>
        <v>4646.0023907330724</v>
      </c>
    </row>
    <row r="129" spans="1:7" x14ac:dyDescent="0.25">
      <c r="F129" s="54" t="s">
        <v>348</v>
      </c>
      <c r="G129" s="54">
        <f>+H117</f>
        <v>565.37260926692716</v>
      </c>
    </row>
    <row r="132" spans="1:7" x14ac:dyDescent="0.25">
      <c r="G132" s="1">
        <f>+G128-G127</f>
        <v>2040.3148907330728</v>
      </c>
    </row>
    <row r="133" spans="1:7" x14ac:dyDescent="0.25">
      <c r="G133" s="1">
        <f>+G127-G129</f>
        <v>2040.3148907330724</v>
      </c>
    </row>
    <row r="134" spans="1:7" x14ac:dyDescent="0.25">
      <c r="C134" s="48" t="s">
        <v>353</v>
      </c>
      <c r="D134" s="48">
        <f>+G133/(3*C124)</f>
        <v>1.0639041995002549</v>
      </c>
    </row>
    <row r="136" spans="1:7" x14ac:dyDescent="0.25">
      <c r="A136" s="15" t="s">
        <v>189</v>
      </c>
    </row>
    <row r="137" spans="1:7" x14ac:dyDescent="0.25">
      <c r="A137" s="35" t="s">
        <v>295</v>
      </c>
    </row>
    <row r="138" spans="1:7" x14ac:dyDescent="0.25">
      <c r="A138" s="15" t="s">
        <v>354</v>
      </c>
    </row>
    <row r="179" spans="1:18" x14ac:dyDescent="0.25">
      <c r="A179" s="15" t="s">
        <v>354</v>
      </c>
    </row>
    <row r="180" spans="1:18" x14ac:dyDescent="0.25">
      <c r="A180" s="49" t="s">
        <v>355</v>
      </c>
      <c r="B180" s="49" t="s">
        <v>488</v>
      </c>
      <c r="C180"/>
      <c r="D180"/>
      <c r="E180"/>
      <c r="F180"/>
      <c r="G180"/>
    </row>
    <row r="181" spans="1:18" x14ac:dyDescent="0.25">
      <c r="A181"/>
      <c r="B181"/>
      <c r="C181"/>
      <c r="D181"/>
      <c r="E181"/>
      <c r="F181"/>
      <c r="G181"/>
    </row>
    <row r="182" spans="1:18" x14ac:dyDescent="0.25">
      <c r="A182"/>
      <c r="B182"/>
      <c r="C182"/>
      <c r="D182"/>
      <c r="E182"/>
      <c r="F182"/>
      <c r="G182"/>
    </row>
    <row r="183" spans="1:18" x14ac:dyDescent="0.25">
      <c r="A183" s="49" t="s">
        <v>356</v>
      </c>
      <c r="D183" s="49" t="s">
        <v>357</v>
      </c>
      <c r="H183" s="49" t="s">
        <v>358</v>
      </c>
      <c r="K183" s="55" t="s">
        <v>359</v>
      </c>
      <c r="N183" s="49" t="s">
        <v>360</v>
      </c>
      <c r="P183"/>
      <c r="R183" s="49" t="s">
        <v>361</v>
      </c>
    </row>
    <row r="184" spans="1:18" x14ac:dyDescent="0.25">
      <c r="A184" t="s">
        <v>362</v>
      </c>
      <c r="D184" t="s">
        <v>489</v>
      </c>
      <c r="H184" t="s">
        <v>491</v>
      </c>
      <c r="K184" t="s">
        <v>363</v>
      </c>
      <c r="N184" t="s">
        <v>364</v>
      </c>
      <c r="P184"/>
      <c r="R184" t="s">
        <v>365</v>
      </c>
    </row>
    <row r="185" spans="1:18" x14ac:dyDescent="0.25">
      <c r="A185" t="s">
        <v>366</v>
      </c>
      <c r="D185" t="s">
        <v>490</v>
      </c>
      <c r="H185" t="s">
        <v>367</v>
      </c>
      <c r="K185" t="s">
        <v>368</v>
      </c>
      <c r="N185" t="s">
        <v>369</v>
      </c>
      <c r="P185"/>
      <c r="R185"/>
    </row>
    <row r="186" spans="1:18" x14ac:dyDescent="0.25">
      <c r="A186"/>
      <c r="D186"/>
      <c r="H186"/>
      <c r="K186"/>
      <c r="N186"/>
      <c r="P186"/>
      <c r="R186"/>
    </row>
    <row r="187" spans="1:18" x14ac:dyDescent="0.25">
      <c r="A187"/>
      <c r="D187"/>
      <c r="H187"/>
      <c r="K187"/>
      <c r="N187"/>
      <c r="P187"/>
      <c r="R187"/>
    </row>
    <row r="188" spans="1:18" x14ac:dyDescent="0.25">
      <c r="A188"/>
      <c r="D188"/>
      <c r="H188"/>
      <c r="K188"/>
      <c r="N188"/>
      <c r="P188"/>
      <c r="R188"/>
    </row>
    <row r="189" spans="1:18" x14ac:dyDescent="0.25">
      <c r="A189"/>
      <c r="D189"/>
      <c r="H189"/>
      <c r="K189"/>
      <c r="N189"/>
      <c r="P189"/>
      <c r="R189"/>
    </row>
    <row r="190" spans="1:18" x14ac:dyDescent="0.25">
      <c r="A190"/>
      <c r="D190"/>
      <c r="H190"/>
      <c r="K190"/>
      <c r="N190"/>
      <c r="P190"/>
      <c r="R190"/>
    </row>
    <row r="191" spans="1:18" x14ac:dyDescent="0.25">
      <c r="A191" s="49" t="s">
        <v>370</v>
      </c>
      <c r="D191" s="49" t="s">
        <v>489</v>
      </c>
      <c r="H191" s="49" t="s">
        <v>491</v>
      </c>
      <c r="K191" s="49" t="s">
        <v>363</v>
      </c>
      <c r="N191" s="49" t="s">
        <v>364</v>
      </c>
      <c r="P191"/>
      <c r="R191" s="49" t="s">
        <v>365</v>
      </c>
    </row>
    <row r="192" spans="1:18" x14ac:dyDescent="0.25">
      <c r="A192" t="s">
        <v>371</v>
      </c>
      <c r="D192" t="s">
        <v>372</v>
      </c>
      <c r="H192" t="s">
        <v>373</v>
      </c>
      <c r="K192" t="s">
        <v>374</v>
      </c>
      <c r="N192" t="s">
        <v>375</v>
      </c>
      <c r="P192"/>
      <c r="R192" t="s">
        <v>376</v>
      </c>
    </row>
    <row r="193" spans="1:17" x14ac:dyDescent="0.25">
      <c r="A193" t="s">
        <v>377</v>
      </c>
      <c r="D193" t="s">
        <v>378</v>
      </c>
      <c r="H193" t="s">
        <v>379</v>
      </c>
      <c r="K193" t="s">
        <v>380</v>
      </c>
      <c r="N193" t="s">
        <v>380</v>
      </c>
      <c r="P193"/>
      <c r="Q193"/>
    </row>
    <row r="194" spans="1:17" x14ac:dyDescent="0.25">
      <c r="A194"/>
      <c r="D194"/>
      <c r="H194" t="s">
        <v>381</v>
      </c>
      <c r="K194" t="s">
        <v>382</v>
      </c>
      <c r="N194"/>
      <c r="P194"/>
      <c r="Q194"/>
    </row>
    <row r="195" spans="1:17" x14ac:dyDescent="0.25">
      <c r="A195" s="49" t="s">
        <v>362</v>
      </c>
      <c r="D195" s="49" t="s">
        <v>490</v>
      </c>
      <c r="H195"/>
      <c r="K195"/>
      <c r="N195"/>
      <c r="O195"/>
      <c r="P195"/>
    </row>
    <row r="196" spans="1:17" x14ac:dyDescent="0.25">
      <c r="A196" t="s">
        <v>380</v>
      </c>
      <c r="D196" t="s">
        <v>372</v>
      </c>
      <c r="H196" s="49" t="s">
        <v>367</v>
      </c>
      <c r="K196" s="49" t="s">
        <v>368</v>
      </c>
      <c r="N196" s="49" t="s">
        <v>369</v>
      </c>
      <c r="O196"/>
      <c r="P196"/>
    </row>
    <row r="197" spans="1:17" x14ac:dyDescent="0.25">
      <c r="A197" t="s">
        <v>377</v>
      </c>
      <c r="D197" t="s">
        <v>383</v>
      </c>
      <c r="H197" t="s">
        <v>382</v>
      </c>
      <c r="K197" t="s">
        <v>384</v>
      </c>
      <c r="N197" t="s">
        <v>375</v>
      </c>
      <c r="O197"/>
      <c r="P197"/>
    </row>
    <row r="198" spans="1:17" x14ac:dyDescent="0.25">
      <c r="A198"/>
      <c r="D198"/>
      <c r="H198" t="s">
        <v>385</v>
      </c>
      <c r="K198" t="s">
        <v>375</v>
      </c>
      <c r="N198" t="s">
        <v>380</v>
      </c>
      <c r="O198"/>
      <c r="P198"/>
    </row>
    <row r="199" spans="1:17" x14ac:dyDescent="0.25">
      <c r="A199" s="49" t="s">
        <v>366</v>
      </c>
      <c r="D199"/>
      <c r="H199"/>
      <c r="K199"/>
      <c r="L199"/>
      <c r="M199"/>
      <c r="N199"/>
    </row>
    <row r="200" spans="1:17" x14ac:dyDescent="0.25">
      <c r="A200" t="s">
        <v>386</v>
      </c>
      <c r="D200"/>
      <c r="H200"/>
      <c r="K200"/>
      <c r="L200"/>
      <c r="M200"/>
      <c r="N200"/>
    </row>
    <row r="201" spans="1:17" x14ac:dyDescent="0.25">
      <c r="A201" t="s">
        <v>387</v>
      </c>
      <c r="D201"/>
      <c r="H201"/>
      <c r="I201"/>
      <c r="J201"/>
      <c r="K201"/>
      <c r="L201"/>
    </row>
    <row r="202" spans="1:17" x14ac:dyDescent="0.25">
      <c r="A202"/>
      <c r="B202"/>
      <c r="C202"/>
      <c r="D202"/>
      <c r="E202"/>
      <c r="F202"/>
      <c r="G202"/>
    </row>
    <row r="203" spans="1:17" x14ac:dyDescent="0.25">
      <c r="A203"/>
      <c r="B203"/>
      <c r="C203"/>
      <c r="D203"/>
      <c r="E203"/>
      <c r="F203"/>
      <c r="G203"/>
    </row>
    <row r="204" spans="1:17" x14ac:dyDescent="0.25">
      <c r="A204" s="49" t="s">
        <v>388</v>
      </c>
      <c r="B204"/>
      <c r="C204"/>
      <c r="D204"/>
      <c r="E204"/>
      <c r="F204"/>
      <c r="G204"/>
    </row>
    <row r="205" spans="1:17" x14ac:dyDescent="0.25">
      <c r="A205"/>
      <c r="B205"/>
      <c r="C205"/>
      <c r="D205"/>
      <c r="E205"/>
      <c r="F205"/>
      <c r="G205"/>
    </row>
    <row r="206" spans="1:17" x14ac:dyDescent="0.25">
      <c r="A206"/>
      <c r="B206"/>
      <c r="C206"/>
      <c r="D206"/>
      <c r="E206"/>
      <c r="F206"/>
      <c r="G206"/>
    </row>
    <row r="207" spans="1:17" x14ac:dyDescent="0.25">
      <c r="A207"/>
      <c r="B207"/>
      <c r="C207"/>
      <c r="D207"/>
      <c r="E207"/>
      <c r="F207"/>
      <c r="G207"/>
    </row>
    <row r="208" spans="1:1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  <row r="212" spans="1:7" x14ac:dyDescent="0.25">
      <c r="A212"/>
      <c r="B212"/>
      <c r="C212"/>
      <c r="D212"/>
      <c r="E212"/>
      <c r="F212"/>
      <c r="G212"/>
    </row>
    <row r="213" spans="1:7" x14ac:dyDescent="0.25">
      <c r="A213"/>
      <c r="B213"/>
      <c r="C213"/>
      <c r="D213"/>
      <c r="E213"/>
      <c r="F213"/>
      <c r="G213"/>
    </row>
    <row r="214" spans="1:7" x14ac:dyDescent="0.25">
      <c r="A214"/>
      <c r="B214"/>
      <c r="C214"/>
      <c r="D214"/>
      <c r="E214"/>
      <c r="F214"/>
      <c r="G214"/>
    </row>
    <row r="215" spans="1:7" x14ac:dyDescent="0.25">
      <c r="A215"/>
      <c r="B215"/>
      <c r="C215"/>
      <c r="D215"/>
      <c r="E215"/>
      <c r="F215"/>
      <c r="G215"/>
    </row>
    <row r="216" spans="1:7" x14ac:dyDescent="0.25">
      <c r="A216"/>
      <c r="B216"/>
      <c r="C216"/>
      <c r="D216"/>
      <c r="E216"/>
      <c r="F216"/>
      <c r="G216"/>
    </row>
    <row r="217" spans="1:7" x14ac:dyDescent="0.25">
      <c r="A217"/>
      <c r="B217"/>
      <c r="C217"/>
      <c r="D217"/>
      <c r="E217"/>
      <c r="F217"/>
      <c r="G217"/>
    </row>
    <row r="218" spans="1:7" x14ac:dyDescent="0.25">
      <c r="A218"/>
      <c r="B218"/>
      <c r="C218"/>
      <c r="D218"/>
      <c r="E218"/>
      <c r="F218"/>
      <c r="G218"/>
    </row>
    <row r="219" spans="1:7" x14ac:dyDescent="0.25">
      <c r="A219"/>
      <c r="B219"/>
      <c r="C219"/>
      <c r="D219"/>
      <c r="E219"/>
      <c r="F219"/>
      <c r="G219"/>
    </row>
    <row r="220" spans="1:7" x14ac:dyDescent="0.25">
      <c r="A220"/>
      <c r="B220"/>
      <c r="C220"/>
      <c r="D220"/>
      <c r="E220"/>
      <c r="F220"/>
      <c r="G220"/>
    </row>
    <row r="221" spans="1:7" x14ac:dyDescent="0.25">
      <c r="A221"/>
      <c r="B221"/>
      <c r="C221"/>
      <c r="D221"/>
      <c r="E221"/>
      <c r="F221"/>
      <c r="G221"/>
    </row>
    <row r="222" spans="1:7" x14ac:dyDescent="0.25">
      <c r="A222"/>
      <c r="B222"/>
      <c r="C222"/>
      <c r="D222"/>
      <c r="E222"/>
      <c r="F222"/>
      <c r="G222"/>
    </row>
    <row r="223" spans="1:7" x14ac:dyDescent="0.25">
      <c r="A223"/>
      <c r="B223"/>
      <c r="C223"/>
      <c r="D223"/>
      <c r="E223"/>
      <c r="F223"/>
      <c r="G223"/>
    </row>
    <row r="224" spans="1:7" x14ac:dyDescent="0.25">
      <c r="A224"/>
      <c r="B224"/>
      <c r="C224"/>
      <c r="D224"/>
      <c r="E224"/>
      <c r="F224"/>
      <c r="G224"/>
    </row>
    <row r="225" spans="1:7" x14ac:dyDescent="0.25">
      <c r="A225"/>
      <c r="B225"/>
      <c r="C225"/>
      <c r="D225"/>
      <c r="E225"/>
      <c r="F225"/>
      <c r="G225"/>
    </row>
    <row r="226" spans="1:7" x14ac:dyDescent="0.25">
      <c r="A226"/>
      <c r="B226"/>
      <c r="C226"/>
      <c r="D226"/>
      <c r="E226"/>
      <c r="F226"/>
      <c r="G226"/>
    </row>
    <row r="227" spans="1:7" x14ac:dyDescent="0.25">
      <c r="A227"/>
      <c r="B227"/>
      <c r="C227"/>
      <c r="D227"/>
      <c r="E227"/>
      <c r="F227"/>
      <c r="G227"/>
    </row>
    <row r="228" spans="1:7" x14ac:dyDescent="0.25">
      <c r="A228"/>
      <c r="B228"/>
      <c r="C228"/>
      <c r="D228"/>
      <c r="E228"/>
      <c r="F228"/>
      <c r="G228"/>
    </row>
    <row r="229" spans="1:7" x14ac:dyDescent="0.25">
      <c r="A229"/>
      <c r="B229"/>
      <c r="C229"/>
      <c r="D229"/>
      <c r="E229"/>
      <c r="F229"/>
      <c r="G229"/>
    </row>
    <row r="230" spans="1:7" x14ac:dyDescent="0.25">
      <c r="A230"/>
      <c r="B230"/>
      <c r="C230"/>
      <c r="D230"/>
      <c r="E230"/>
      <c r="F230"/>
      <c r="G230"/>
    </row>
    <row r="231" spans="1:7" x14ac:dyDescent="0.25">
      <c r="A231"/>
      <c r="B231"/>
      <c r="C231"/>
      <c r="D231"/>
      <c r="E231"/>
      <c r="F231"/>
      <c r="G231"/>
    </row>
    <row r="232" spans="1:7" x14ac:dyDescent="0.25">
      <c r="A232"/>
      <c r="B232"/>
      <c r="C232"/>
      <c r="D232"/>
      <c r="E232"/>
      <c r="F232"/>
      <c r="G232"/>
    </row>
    <row r="233" spans="1:7" x14ac:dyDescent="0.25">
      <c r="A233"/>
      <c r="B233"/>
      <c r="C233"/>
      <c r="D233"/>
      <c r="E233"/>
      <c r="F233"/>
      <c r="G233"/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 s="56" t="s">
        <v>389</v>
      </c>
      <c r="C237" s="48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>
        <v>1</v>
      </c>
      <c r="B239" t="s">
        <v>390</v>
      </c>
      <c r="C239"/>
      <c r="D239"/>
      <c r="E239"/>
      <c r="F239"/>
      <c r="G239"/>
    </row>
    <row r="240" spans="1:7" x14ac:dyDescent="0.25">
      <c r="A240">
        <v>2</v>
      </c>
      <c r="B240" t="s">
        <v>391</v>
      </c>
      <c r="C240"/>
      <c r="D240"/>
      <c r="E240"/>
      <c r="F240"/>
      <c r="G240"/>
    </row>
    <row r="241" spans="1:10" x14ac:dyDescent="0.25">
      <c r="A241">
        <v>3</v>
      </c>
      <c r="B241" t="s">
        <v>392</v>
      </c>
      <c r="C241"/>
      <c r="D241"/>
      <c r="E241"/>
      <c r="F241"/>
      <c r="G241"/>
      <c r="H241"/>
      <c r="I241"/>
      <c r="J241"/>
    </row>
    <row r="242" spans="1:10" x14ac:dyDescent="0.25">
      <c r="A242">
        <v>4</v>
      </c>
      <c r="B242" t="s">
        <v>393</v>
      </c>
      <c r="C242"/>
      <c r="D242"/>
      <c r="E242"/>
      <c r="F242"/>
      <c r="G242"/>
      <c r="H242"/>
      <c r="I242"/>
      <c r="J242" s="49"/>
    </row>
    <row r="243" spans="1:10" x14ac:dyDescent="0.25">
      <c r="A243">
        <v>5</v>
      </c>
      <c r="B243" t="s">
        <v>394</v>
      </c>
      <c r="C243"/>
      <c r="D243"/>
      <c r="E243"/>
      <c r="F243"/>
      <c r="G243"/>
    </row>
    <row r="244" spans="1:10" x14ac:dyDescent="0.25">
      <c r="A244">
        <v>6</v>
      </c>
      <c r="B244" t="s">
        <v>395</v>
      </c>
      <c r="C244"/>
      <c r="D244"/>
      <c r="E244"/>
      <c r="F244"/>
      <c r="G244"/>
    </row>
    <row r="245" spans="1:10" x14ac:dyDescent="0.25">
      <c r="A245">
        <v>7</v>
      </c>
      <c r="B245" t="s">
        <v>396</v>
      </c>
      <c r="C245"/>
      <c r="D245"/>
      <c r="E245"/>
      <c r="F245"/>
      <c r="G245"/>
      <c r="H245"/>
      <c r="I245"/>
      <c r="J245" s="49"/>
    </row>
    <row r="246" spans="1:10" x14ac:dyDescent="0.25">
      <c r="A246">
        <v>8</v>
      </c>
      <c r="B246" t="s">
        <v>397</v>
      </c>
      <c r="C246"/>
      <c r="D246"/>
      <c r="E246"/>
      <c r="F246"/>
      <c r="G246"/>
    </row>
    <row r="247" spans="1:10" x14ac:dyDescent="0.25">
      <c r="A247">
        <v>9</v>
      </c>
      <c r="B247" t="s">
        <v>398</v>
      </c>
      <c r="C247"/>
      <c r="D247"/>
      <c r="E247"/>
      <c r="F247"/>
      <c r="G247"/>
    </row>
    <row r="248" spans="1:10" x14ac:dyDescent="0.25">
      <c r="A248">
        <v>10</v>
      </c>
      <c r="B248" t="s">
        <v>399</v>
      </c>
      <c r="C248"/>
      <c r="D248"/>
      <c r="E248"/>
      <c r="F248"/>
      <c r="G248"/>
    </row>
    <row r="249" spans="1:10" x14ac:dyDescent="0.25">
      <c r="A249"/>
      <c r="B249"/>
      <c r="C249"/>
      <c r="D249"/>
      <c r="E249"/>
      <c r="F249"/>
      <c r="G249"/>
    </row>
    <row r="251" spans="1:10" ht="20.25" customHeight="1" x14ac:dyDescent="0.25">
      <c r="A251" s="15" t="s">
        <v>206</v>
      </c>
    </row>
    <row r="252" spans="1:10" x14ac:dyDescent="0.25">
      <c r="A252" s="35" t="s">
        <v>317</v>
      </c>
    </row>
    <row r="254" spans="1:10" x14ac:dyDescent="0.25">
      <c r="A254" s="1" t="s">
        <v>400</v>
      </c>
    </row>
    <row r="255" spans="1:10" x14ac:dyDescent="0.25">
      <c r="A255" s="37">
        <v>1</v>
      </c>
      <c r="B255" s="48" t="s">
        <v>393</v>
      </c>
      <c r="C255" s="48"/>
      <c r="D255" s="48"/>
      <c r="E255" s="48"/>
      <c r="F255" s="48"/>
      <c r="G255" s="48"/>
      <c r="H255" s="48"/>
      <c r="I255" s="48"/>
      <c r="J255" s="49"/>
    </row>
    <row r="256" spans="1:10" x14ac:dyDescent="0.25">
      <c r="B256" s="49" t="s">
        <v>396</v>
      </c>
      <c r="C256" s="49"/>
      <c r="D256" s="49"/>
      <c r="E256" s="49"/>
      <c r="F256" s="49"/>
      <c r="G256" s="49"/>
      <c r="H256" s="49"/>
      <c r="I256" s="49"/>
      <c r="J256" s="49"/>
    </row>
    <row r="257" spans="1:16" x14ac:dyDescent="0.25">
      <c r="B257" s="49" t="s">
        <v>391</v>
      </c>
      <c r="C257"/>
      <c r="D257"/>
    </row>
    <row r="258" spans="1:16" x14ac:dyDescent="0.25">
      <c r="A258" s="37">
        <v>2</v>
      </c>
      <c r="B258" s="48" t="s">
        <v>397</v>
      </c>
      <c r="C258" s="37"/>
      <c r="D258" s="37"/>
      <c r="E258" s="37"/>
      <c r="F258" s="37"/>
      <c r="G258" s="37"/>
      <c r="H258" s="37"/>
      <c r="I258" s="37"/>
    </row>
    <row r="259" spans="1:16" x14ac:dyDescent="0.25">
      <c r="B259"/>
      <c r="C259"/>
      <c r="D259"/>
    </row>
    <row r="260" spans="1:16" x14ac:dyDescent="0.25">
      <c r="B260" s="1" t="s">
        <v>401</v>
      </c>
      <c r="C260"/>
      <c r="D260"/>
    </row>
    <row r="261" spans="1:16" x14ac:dyDescent="0.25">
      <c r="B261" s="15" t="s">
        <v>402</v>
      </c>
      <c r="C261" s="49"/>
      <c r="D261" s="49"/>
      <c r="E261" s="15"/>
      <c r="F261" s="15"/>
      <c r="G261" s="15"/>
    </row>
    <row r="262" spans="1:16" x14ac:dyDescent="0.25">
      <c r="B262"/>
      <c r="C262"/>
      <c r="D262"/>
    </row>
    <row r="263" spans="1:16" x14ac:dyDescent="0.25">
      <c r="C263" s="112" t="s">
        <v>402</v>
      </c>
      <c r="D263" s="112"/>
      <c r="E263" s="105" t="s">
        <v>393</v>
      </c>
      <c r="F263" s="105"/>
      <c r="G263" s="105" t="s">
        <v>396</v>
      </c>
      <c r="H263" s="105"/>
      <c r="I263" s="86" t="s">
        <v>391</v>
      </c>
      <c r="J263" s="86"/>
      <c r="K263" s="86" t="s">
        <v>397</v>
      </c>
      <c r="L263" s="86"/>
      <c r="M263" s="113" t="s">
        <v>403</v>
      </c>
      <c r="N263" s="114"/>
      <c r="O263" s="119" t="s">
        <v>404</v>
      </c>
      <c r="P263" s="114"/>
    </row>
    <row r="264" spans="1:16" x14ac:dyDescent="0.25">
      <c r="C264" s="112"/>
      <c r="D264" s="112"/>
      <c r="E264" s="105"/>
      <c r="F264" s="105"/>
      <c r="G264" s="105"/>
      <c r="H264" s="105"/>
      <c r="I264" s="86"/>
      <c r="J264" s="86"/>
      <c r="K264" s="86"/>
      <c r="L264" s="86"/>
      <c r="M264" s="115"/>
      <c r="N264" s="116"/>
      <c r="O264" s="120"/>
      <c r="P264" s="116"/>
    </row>
    <row r="265" spans="1:16" x14ac:dyDescent="0.25">
      <c r="C265" s="112"/>
      <c r="D265" s="112"/>
      <c r="E265" s="105"/>
      <c r="F265" s="105"/>
      <c r="G265" s="105"/>
      <c r="H265" s="105"/>
      <c r="I265" s="86"/>
      <c r="J265" s="86"/>
      <c r="K265" s="86"/>
      <c r="L265" s="86"/>
      <c r="M265" s="115"/>
      <c r="N265" s="116"/>
      <c r="O265" s="120"/>
      <c r="P265" s="116"/>
    </row>
    <row r="266" spans="1:16" x14ac:dyDescent="0.25">
      <c r="C266" s="112"/>
      <c r="D266" s="112"/>
      <c r="E266" s="105"/>
      <c r="F266" s="105"/>
      <c r="G266" s="105"/>
      <c r="H266" s="105"/>
      <c r="I266" s="86"/>
      <c r="J266" s="86"/>
      <c r="K266" s="86"/>
      <c r="L266" s="86"/>
      <c r="M266" s="117"/>
      <c r="N266" s="118"/>
      <c r="O266" s="121"/>
      <c r="P266" s="118"/>
    </row>
    <row r="267" spans="1:16" x14ac:dyDescent="0.25">
      <c r="C267" s="105" t="s">
        <v>393</v>
      </c>
      <c r="D267" s="105"/>
      <c r="E267" s="93"/>
      <c r="F267" s="94"/>
      <c r="G267" s="106">
        <v>1</v>
      </c>
      <c r="H267" s="107"/>
      <c r="I267" s="106">
        <v>1</v>
      </c>
      <c r="J267" s="107"/>
      <c r="K267" s="106">
        <v>1</v>
      </c>
      <c r="L267" s="107"/>
      <c r="M267" s="106">
        <f>SUM(E267:L270)</f>
        <v>3</v>
      </c>
      <c r="N267" s="107"/>
      <c r="O267" s="80">
        <v>1</v>
      </c>
      <c r="P267" s="81"/>
    </row>
    <row r="268" spans="1:16" x14ac:dyDescent="0.25">
      <c r="C268" s="105"/>
      <c r="D268" s="105"/>
      <c r="E268" s="95"/>
      <c r="F268" s="96"/>
      <c r="G268" s="108"/>
      <c r="H268" s="109"/>
      <c r="I268" s="108"/>
      <c r="J268" s="109"/>
      <c r="K268" s="108"/>
      <c r="L268" s="109"/>
      <c r="M268" s="108"/>
      <c r="N268" s="109"/>
      <c r="O268" s="82"/>
      <c r="P268" s="83"/>
    </row>
    <row r="269" spans="1:16" x14ac:dyDescent="0.25">
      <c r="C269" s="105"/>
      <c r="D269" s="105"/>
      <c r="E269" s="95"/>
      <c r="F269" s="96"/>
      <c r="G269" s="108"/>
      <c r="H269" s="109"/>
      <c r="I269" s="108"/>
      <c r="J269" s="109"/>
      <c r="K269" s="108"/>
      <c r="L269" s="109"/>
      <c r="M269" s="108"/>
      <c r="N269" s="109"/>
      <c r="O269" s="82"/>
      <c r="P269" s="83"/>
    </row>
    <row r="270" spans="1:16" x14ac:dyDescent="0.25">
      <c r="C270" s="105"/>
      <c r="D270" s="105"/>
      <c r="E270" s="97"/>
      <c r="F270" s="98"/>
      <c r="G270" s="110"/>
      <c r="H270" s="111"/>
      <c r="I270" s="110"/>
      <c r="J270" s="111"/>
      <c r="K270" s="110"/>
      <c r="L270" s="111"/>
      <c r="M270" s="110"/>
      <c r="N270" s="111"/>
      <c r="O270" s="84"/>
      <c r="P270" s="85"/>
    </row>
    <row r="271" spans="1:16" x14ac:dyDescent="0.25">
      <c r="C271" s="105" t="s">
        <v>396</v>
      </c>
      <c r="D271" s="105"/>
      <c r="E271" s="87">
        <v>0</v>
      </c>
      <c r="F271" s="88"/>
      <c r="G271" s="93"/>
      <c r="H271" s="94"/>
      <c r="I271" s="87">
        <v>1</v>
      </c>
      <c r="J271" s="88"/>
      <c r="K271" s="87">
        <v>0</v>
      </c>
      <c r="L271" s="88"/>
      <c r="M271" s="99">
        <v>1</v>
      </c>
      <c r="N271" s="100"/>
      <c r="O271" s="80">
        <v>3</v>
      </c>
      <c r="P271" s="81"/>
    </row>
    <row r="272" spans="1:16" x14ac:dyDescent="0.25">
      <c r="C272" s="105"/>
      <c r="D272" s="105"/>
      <c r="E272" s="89"/>
      <c r="F272" s="90"/>
      <c r="G272" s="95"/>
      <c r="H272" s="96"/>
      <c r="I272" s="89"/>
      <c r="J272" s="90"/>
      <c r="K272" s="89"/>
      <c r="L272" s="90"/>
      <c r="M272" s="101"/>
      <c r="N272" s="102"/>
      <c r="O272" s="82"/>
      <c r="P272" s="83"/>
    </row>
    <row r="273" spans="3:16" x14ac:dyDescent="0.25">
      <c r="C273" s="105"/>
      <c r="D273" s="105"/>
      <c r="E273" s="89"/>
      <c r="F273" s="90"/>
      <c r="G273" s="95"/>
      <c r="H273" s="96"/>
      <c r="I273" s="89"/>
      <c r="J273" s="90"/>
      <c r="K273" s="89"/>
      <c r="L273" s="90"/>
      <c r="M273" s="101"/>
      <c r="N273" s="102"/>
      <c r="O273" s="82"/>
      <c r="P273" s="83"/>
    </row>
    <row r="274" spans="3:16" x14ac:dyDescent="0.25">
      <c r="C274" s="105"/>
      <c r="D274" s="105"/>
      <c r="E274" s="91"/>
      <c r="F274" s="92"/>
      <c r="G274" s="97"/>
      <c r="H274" s="98"/>
      <c r="I274" s="91"/>
      <c r="J274" s="92"/>
      <c r="K274" s="91"/>
      <c r="L274" s="92"/>
      <c r="M274" s="103"/>
      <c r="N274" s="104"/>
      <c r="O274" s="84"/>
      <c r="P274" s="85"/>
    </row>
    <row r="275" spans="3:16" x14ac:dyDescent="0.25">
      <c r="C275" s="86" t="s">
        <v>391</v>
      </c>
      <c r="D275" s="86"/>
      <c r="E275" s="87">
        <v>0</v>
      </c>
      <c r="F275" s="88"/>
      <c r="G275" s="87">
        <v>0</v>
      </c>
      <c r="H275" s="88"/>
      <c r="I275" s="93"/>
      <c r="J275" s="94"/>
      <c r="K275" s="87">
        <v>0</v>
      </c>
      <c r="L275" s="88"/>
      <c r="M275" s="99">
        <v>0</v>
      </c>
      <c r="N275" s="100"/>
      <c r="O275" s="80">
        <v>4</v>
      </c>
      <c r="P275" s="81"/>
    </row>
    <row r="276" spans="3:16" x14ac:dyDescent="0.25">
      <c r="C276" s="86"/>
      <c r="D276" s="86"/>
      <c r="E276" s="89"/>
      <c r="F276" s="90"/>
      <c r="G276" s="89"/>
      <c r="H276" s="90"/>
      <c r="I276" s="95"/>
      <c r="J276" s="96"/>
      <c r="K276" s="89"/>
      <c r="L276" s="90"/>
      <c r="M276" s="101"/>
      <c r="N276" s="102"/>
      <c r="O276" s="82"/>
      <c r="P276" s="83"/>
    </row>
    <row r="277" spans="3:16" x14ac:dyDescent="0.25">
      <c r="C277" s="86"/>
      <c r="D277" s="86"/>
      <c r="E277" s="89"/>
      <c r="F277" s="90"/>
      <c r="G277" s="89"/>
      <c r="H277" s="90"/>
      <c r="I277" s="95"/>
      <c r="J277" s="96"/>
      <c r="K277" s="89"/>
      <c r="L277" s="90"/>
      <c r="M277" s="101"/>
      <c r="N277" s="102"/>
      <c r="O277" s="82"/>
      <c r="P277" s="83"/>
    </row>
    <row r="278" spans="3:16" x14ac:dyDescent="0.25">
      <c r="C278" s="86"/>
      <c r="D278" s="86"/>
      <c r="E278" s="91"/>
      <c r="F278" s="92"/>
      <c r="G278" s="91"/>
      <c r="H278" s="92"/>
      <c r="I278" s="97"/>
      <c r="J278" s="98"/>
      <c r="K278" s="91"/>
      <c r="L278" s="92"/>
      <c r="M278" s="103"/>
      <c r="N278" s="104"/>
      <c r="O278" s="84"/>
      <c r="P278" s="85"/>
    </row>
    <row r="279" spans="3:16" x14ac:dyDescent="0.25">
      <c r="C279" s="86" t="s">
        <v>397</v>
      </c>
      <c r="D279" s="86"/>
      <c r="E279" s="87">
        <v>0</v>
      </c>
      <c r="F279" s="88"/>
      <c r="G279" s="87">
        <v>1</v>
      </c>
      <c r="H279" s="88"/>
      <c r="I279" s="87">
        <v>1</v>
      </c>
      <c r="J279" s="88"/>
      <c r="K279" s="93"/>
      <c r="L279" s="94"/>
      <c r="M279" s="99">
        <v>2</v>
      </c>
      <c r="N279" s="100"/>
      <c r="O279" s="80">
        <v>2</v>
      </c>
      <c r="P279" s="81"/>
    </row>
    <row r="280" spans="3:16" x14ac:dyDescent="0.25">
      <c r="C280" s="86"/>
      <c r="D280" s="86"/>
      <c r="E280" s="89"/>
      <c r="F280" s="90"/>
      <c r="G280" s="89"/>
      <c r="H280" s="90"/>
      <c r="I280" s="89"/>
      <c r="J280" s="90"/>
      <c r="K280" s="95"/>
      <c r="L280" s="96"/>
      <c r="M280" s="101"/>
      <c r="N280" s="102"/>
      <c r="O280" s="82"/>
      <c r="P280" s="83"/>
    </row>
    <row r="281" spans="3:16" x14ac:dyDescent="0.25">
      <c r="C281" s="86"/>
      <c r="D281" s="86"/>
      <c r="E281" s="89"/>
      <c r="F281" s="90"/>
      <c r="G281" s="89"/>
      <c r="H281" s="90"/>
      <c r="I281" s="89"/>
      <c r="J281" s="90"/>
      <c r="K281" s="95"/>
      <c r="L281" s="96"/>
      <c r="M281" s="101"/>
      <c r="N281" s="102"/>
      <c r="O281" s="82"/>
      <c r="P281" s="83"/>
    </row>
    <row r="282" spans="3:16" x14ac:dyDescent="0.25">
      <c r="C282" s="86"/>
      <c r="D282" s="86"/>
      <c r="E282" s="91"/>
      <c r="F282" s="92"/>
      <c r="G282" s="91"/>
      <c r="H282" s="92"/>
      <c r="I282" s="91"/>
      <c r="J282" s="92"/>
      <c r="K282" s="97"/>
      <c r="L282" s="98"/>
      <c r="M282" s="103"/>
      <c r="N282" s="104"/>
      <c r="O282" s="84"/>
      <c r="P282" s="85"/>
    </row>
    <row r="285" spans="3:16" x14ac:dyDescent="0.25">
      <c r="C285" s="1" t="s">
        <v>405</v>
      </c>
    </row>
    <row r="287" spans="3:16" x14ac:dyDescent="0.25">
      <c r="C287" s="48" t="s">
        <v>406</v>
      </c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</row>
    <row r="290" spans="1:7" x14ac:dyDescent="0.25">
      <c r="A290" s="15" t="s">
        <v>13</v>
      </c>
    </row>
    <row r="291" spans="1:7" x14ac:dyDescent="0.25">
      <c r="A291" s="35" t="s">
        <v>318</v>
      </c>
    </row>
    <row r="292" spans="1:7" x14ac:dyDescent="0.25">
      <c r="B292" s="15" t="s">
        <v>407</v>
      </c>
    </row>
    <row r="293" spans="1:7" x14ac:dyDescent="0.25">
      <c r="B293" s="1" t="s">
        <v>143</v>
      </c>
      <c r="C293" s="1" t="s">
        <v>321</v>
      </c>
    </row>
    <row r="294" spans="1:7" x14ac:dyDescent="0.25">
      <c r="B294" s="1" t="s">
        <v>144</v>
      </c>
      <c r="C294" s="1" t="s">
        <v>322</v>
      </c>
    </row>
    <row r="296" spans="1:7" x14ac:dyDescent="0.25">
      <c r="B296" s="1" t="s">
        <v>408</v>
      </c>
      <c r="C296" s="1" t="s">
        <v>409</v>
      </c>
    </row>
    <row r="297" spans="1:7" x14ac:dyDescent="0.25">
      <c r="C297" s="1" t="s">
        <v>410</v>
      </c>
    </row>
    <row r="299" spans="1:7" x14ac:dyDescent="0.25">
      <c r="C299" s="1" t="s">
        <v>411</v>
      </c>
    </row>
    <row r="300" spans="1:7" x14ac:dyDescent="0.25">
      <c r="C300" s="1" t="s">
        <v>412</v>
      </c>
    </row>
    <row r="301" spans="1:7" x14ac:dyDescent="0.25">
      <c r="C301" s="1" t="s">
        <v>413</v>
      </c>
    </row>
    <row r="303" spans="1:7" x14ac:dyDescent="0.25">
      <c r="C303" s="48" t="s">
        <v>414</v>
      </c>
      <c r="D303" s="37"/>
      <c r="E303" s="37"/>
    </row>
    <row r="304" spans="1:7" ht="15" customHeight="1" x14ac:dyDescent="0.25">
      <c r="C304" s="78" t="s">
        <v>415</v>
      </c>
      <c r="D304" s="78"/>
      <c r="E304" s="79" t="s">
        <v>416</v>
      </c>
      <c r="F304" s="79" t="s">
        <v>417</v>
      </c>
      <c r="G304" s="79" t="s">
        <v>418</v>
      </c>
    </row>
    <row r="305" spans="3:7" x14ac:dyDescent="0.25">
      <c r="C305" s="78"/>
      <c r="D305" s="78"/>
      <c r="E305" s="79"/>
      <c r="F305" s="79"/>
      <c r="G305" s="79"/>
    </row>
    <row r="306" spans="3:7" x14ac:dyDescent="0.25">
      <c r="C306" s="78"/>
      <c r="D306" s="78"/>
      <c r="E306" s="79"/>
      <c r="F306" s="79"/>
      <c r="G306" s="79"/>
    </row>
    <row r="307" spans="3:7" x14ac:dyDescent="0.25">
      <c r="C307" s="78"/>
      <c r="D307" s="78"/>
      <c r="E307" s="79"/>
      <c r="F307" s="79"/>
      <c r="G307" s="79"/>
    </row>
    <row r="308" spans="3:7" x14ac:dyDescent="0.25">
      <c r="C308" s="74" t="s">
        <v>419</v>
      </c>
      <c r="D308" s="74"/>
      <c r="E308" s="75"/>
      <c r="F308" s="75" t="s">
        <v>420</v>
      </c>
      <c r="G308" s="75" t="s">
        <v>351</v>
      </c>
    </row>
    <row r="309" spans="3:7" x14ac:dyDescent="0.25">
      <c r="C309" s="74"/>
      <c r="D309" s="74"/>
      <c r="E309" s="76"/>
      <c r="F309" s="76"/>
      <c r="G309" s="76"/>
    </row>
    <row r="310" spans="3:7" x14ac:dyDescent="0.25">
      <c r="C310" s="74" t="s">
        <v>421</v>
      </c>
      <c r="D310" s="74"/>
      <c r="E310" s="75" t="s">
        <v>420</v>
      </c>
      <c r="F310" s="75" t="s">
        <v>351</v>
      </c>
      <c r="G310" s="75"/>
    </row>
    <row r="311" spans="3:7" x14ac:dyDescent="0.25">
      <c r="C311" s="74"/>
      <c r="D311" s="74"/>
      <c r="E311" s="76"/>
      <c r="F311" s="76"/>
      <c r="G311" s="76"/>
    </row>
    <row r="312" spans="3:7" x14ac:dyDescent="0.25">
      <c r="C312" s="74" t="s">
        <v>422</v>
      </c>
      <c r="D312" s="74"/>
      <c r="E312" s="75"/>
      <c r="F312" s="75" t="s">
        <v>420</v>
      </c>
      <c r="G312" s="75" t="s">
        <v>351</v>
      </c>
    </row>
    <row r="313" spans="3:7" x14ac:dyDescent="0.25">
      <c r="C313" s="74"/>
      <c r="D313" s="74"/>
      <c r="E313" s="76"/>
      <c r="F313" s="76"/>
      <c r="G313" s="76"/>
    </row>
    <row r="314" spans="3:7" x14ac:dyDescent="0.25">
      <c r="C314" s="74" t="s">
        <v>423</v>
      </c>
      <c r="D314" s="74"/>
      <c r="E314" s="75" t="s">
        <v>420</v>
      </c>
      <c r="F314" s="75" t="s">
        <v>351</v>
      </c>
      <c r="G314" s="75"/>
    </row>
    <row r="315" spans="3:7" x14ac:dyDescent="0.25">
      <c r="C315" s="74"/>
      <c r="D315" s="74"/>
      <c r="E315" s="76"/>
      <c r="F315" s="76"/>
      <c r="G315" s="76"/>
    </row>
    <row r="316" spans="3:7" x14ac:dyDescent="0.25">
      <c r="C316" s="74" t="s">
        <v>424</v>
      </c>
      <c r="D316" s="74"/>
      <c r="E316" s="75" t="s">
        <v>425</v>
      </c>
      <c r="F316" s="75"/>
      <c r="G316" s="75"/>
    </row>
    <row r="317" spans="3:7" x14ac:dyDescent="0.25">
      <c r="C317" s="74"/>
      <c r="D317" s="74"/>
      <c r="E317" s="76"/>
      <c r="F317" s="76"/>
      <c r="G317" s="76"/>
    </row>
    <row r="318" spans="3:7" x14ac:dyDescent="0.25">
      <c r="C318" s="74" t="s">
        <v>426</v>
      </c>
      <c r="D318" s="74"/>
      <c r="E318" s="75" t="s">
        <v>425</v>
      </c>
      <c r="F318" s="75"/>
      <c r="G318" s="75"/>
    </row>
    <row r="319" spans="3:7" x14ac:dyDescent="0.25">
      <c r="C319" s="74"/>
      <c r="D319" s="74"/>
      <c r="E319" s="76"/>
      <c r="F319" s="76"/>
      <c r="G319" s="76"/>
    </row>
    <row r="320" spans="3:7" x14ac:dyDescent="0.25">
      <c r="C320" s="74" t="s">
        <v>427</v>
      </c>
      <c r="D320" s="74"/>
      <c r="E320" s="75" t="s">
        <v>425</v>
      </c>
      <c r="F320" s="75"/>
      <c r="G320" s="75"/>
    </row>
    <row r="321" spans="2:9" x14ac:dyDescent="0.25">
      <c r="C321" s="74"/>
      <c r="D321" s="74"/>
      <c r="E321" s="76"/>
      <c r="F321" s="76"/>
      <c r="G321" s="76"/>
    </row>
    <row r="322" spans="2:9" x14ac:dyDescent="0.25">
      <c r="C322" s="74" t="s">
        <v>428</v>
      </c>
      <c r="D322" s="74"/>
      <c r="E322" s="75"/>
      <c r="F322" s="75" t="s">
        <v>420</v>
      </c>
      <c r="G322" s="75" t="s">
        <v>351</v>
      </c>
    </row>
    <row r="323" spans="2:9" x14ac:dyDescent="0.25">
      <c r="C323" s="74"/>
      <c r="D323" s="74"/>
      <c r="E323" s="76"/>
      <c r="F323" s="76"/>
      <c r="G323" s="76"/>
    </row>
    <row r="324" spans="2:9" x14ac:dyDescent="0.25">
      <c r="C324" s="74" t="s">
        <v>429</v>
      </c>
      <c r="D324" s="74"/>
      <c r="E324" s="75"/>
      <c r="F324" s="75" t="s">
        <v>420</v>
      </c>
      <c r="G324" s="75" t="s">
        <v>351</v>
      </c>
    </row>
    <row r="325" spans="2:9" x14ac:dyDescent="0.25">
      <c r="C325" s="74"/>
      <c r="D325" s="74"/>
      <c r="E325" s="76"/>
      <c r="F325" s="76"/>
      <c r="G325" s="76"/>
    </row>
    <row r="326" spans="2:9" x14ac:dyDescent="0.25">
      <c r="C326" s="74" t="s">
        <v>430</v>
      </c>
      <c r="D326" s="74"/>
      <c r="E326" s="75" t="s">
        <v>425</v>
      </c>
      <c r="F326" s="75" t="s">
        <v>351</v>
      </c>
      <c r="G326" s="75"/>
    </row>
    <row r="327" spans="2:9" x14ac:dyDescent="0.25">
      <c r="C327" s="74"/>
      <c r="D327" s="74"/>
      <c r="E327" s="76"/>
      <c r="F327" s="76"/>
      <c r="G327" s="76"/>
    </row>
    <row r="328" spans="2:9" x14ac:dyDescent="0.25">
      <c r="E328" s="1" t="s">
        <v>431</v>
      </c>
    </row>
    <row r="329" spans="2:9" x14ac:dyDescent="0.25">
      <c r="E329" s="1" t="s">
        <v>432</v>
      </c>
    </row>
    <row r="332" spans="2:9" x14ac:dyDescent="0.25">
      <c r="E332" s="56" t="s">
        <v>433</v>
      </c>
      <c r="F332" s="37"/>
    </row>
    <row r="334" spans="2:9" x14ac:dyDescent="0.25">
      <c r="E334" s="15"/>
      <c r="H334" s="1" t="s">
        <v>434</v>
      </c>
      <c r="I334" s="38">
        <v>44048</v>
      </c>
    </row>
    <row r="335" spans="2:9" x14ac:dyDescent="0.25">
      <c r="B335" s="1" t="s">
        <v>435</v>
      </c>
      <c r="H335" s="1" t="s">
        <v>436</v>
      </c>
      <c r="I335" s="1" t="s">
        <v>412</v>
      </c>
    </row>
    <row r="336" spans="2:9" x14ac:dyDescent="0.25">
      <c r="H336" s="1" t="s">
        <v>437</v>
      </c>
      <c r="I336" s="1" t="s">
        <v>411</v>
      </c>
    </row>
    <row r="337" spans="1:11" x14ac:dyDescent="0.25">
      <c r="H337" s="1" t="s">
        <v>438</v>
      </c>
      <c r="I337" s="1" t="s">
        <v>410</v>
      </c>
    </row>
    <row r="340" spans="1:11" x14ac:dyDescent="0.25">
      <c r="A340" s="77" t="s">
        <v>439</v>
      </c>
      <c r="B340" s="77"/>
      <c r="C340" s="72" t="s">
        <v>440</v>
      </c>
      <c r="D340" s="77" t="s">
        <v>441</v>
      </c>
      <c r="E340" s="77"/>
      <c r="F340" s="72" t="s">
        <v>442</v>
      </c>
      <c r="G340" s="77" t="s">
        <v>443</v>
      </c>
      <c r="H340" s="77"/>
      <c r="I340" s="77"/>
      <c r="J340" s="72" t="s">
        <v>444</v>
      </c>
      <c r="K340" s="73" t="s">
        <v>445</v>
      </c>
    </row>
    <row r="341" spans="1:11" x14ac:dyDescent="0.25">
      <c r="A341" s="57" t="s">
        <v>446</v>
      </c>
      <c r="B341" s="57" t="s">
        <v>447</v>
      </c>
      <c r="C341" s="72"/>
      <c r="D341" s="57" t="s">
        <v>448</v>
      </c>
      <c r="E341" s="57" t="s">
        <v>449</v>
      </c>
      <c r="F341" s="72"/>
      <c r="G341" s="57" t="s">
        <v>450</v>
      </c>
      <c r="H341" s="57" t="s">
        <v>451</v>
      </c>
      <c r="I341" s="57" t="s">
        <v>452</v>
      </c>
      <c r="J341" s="72"/>
      <c r="K341" s="73"/>
    </row>
    <row r="342" spans="1:11" ht="60" x14ac:dyDescent="0.25">
      <c r="A342" s="58">
        <v>1</v>
      </c>
      <c r="B342" s="59" t="s">
        <v>419</v>
      </c>
      <c r="C342" s="16" t="s">
        <v>453</v>
      </c>
      <c r="D342" s="60" t="s">
        <v>454</v>
      </c>
      <c r="E342" s="59" t="s">
        <v>455</v>
      </c>
      <c r="F342" s="58" t="s">
        <v>456</v>
      </c>
      <c r="G342" s="16"/>
      <c r="H342" s="61" t="s">
        <v>457</v>
      </c>
      <c r="I342" s="58">
        <v>1</v>
      </c>
      <c r="J342" s="59" t="s">
        <v>411</v>
      </c>
      <c r="K342" s="61" t="s">
        <v>458</v>
      </c>
    </row>
    <row r="343" spans="1:11" ht="60" x14ac:dyDescent="0.25">
      <c r="A343" s="58">
        <v>2</v>
      </c>
      <c r="B343" s="59" t="s">
        <v>421</v>
      </c>
      <c r="C343" s="16" t="s">
        <v>453</v>
      </c>
      <c r="D343" s="59" t="s">
        <v>459</v>
      </c>
      <c r="E343" s="59" t="s">
        <v>460</v>
      </c>
      <c r="F343" s="58" t="s">
        <v>461</v>
      </c>
      <c r="G343" s="16"/>
      <c r="H343" s="61" t="s">
        <v>462</v>
      </c>
      <c r="I343" s="58">
        <v>1</v>
      </c>
      <c r="J343" s="59" t="s">
        <v>411</v>
      </c>
      <c r="K343" s="61" t="s">
        <v>458</v>
      </c>
    </row>
    <row r="344" spans="1:11" ht="60" x14ac:dyDescent="0.25">
      <c r="A344" s="58">
        <v>3</v>
      </c>
      <c r="B344" s="59" t="s">
        <v>422</v>
      </c>
      <c r="C344" s="16" t="s">
        <v>463</v>
      </c>
      <c r="D344" s="59" t="s">
        <v>464</v>
      </c>
      <c r="E344" s="59" t="s">
        <v>465</v>
      </c>
      <c r="F344" s="58" t="s">
        <v>466</v>
      </c>
      <c r="G344" s="16"/>
      <c r="H344" s="61" t="s">
        <v>457</v>
      </c>
      <c r="I344" s="58">
        <v>1</v>
      </c>
      <c r="J344" s="59" t="s">
        <v>411</v>
      </c>
      <c r="K344" s="61" t="s">
        <v>458</v>
      </c>
    </row>
    <row r="345" spans="1:11" ht="60" x14ac:dyDescent="0.25">
      <c r="A345" s="58">
        <v>4</v>
      </c>
      <c r="B345" s="59" t="s">
        <v>423</v>
      </c>
      <c r="C345" s="16" t="s">
        <v>453</v>
      </c>
      <c r="D345" s="59" t="s">
        <v>459</v>
      </c>
      <c r="E345" s="59" t="s">
        <v>460</v>
      </c>
      <c r="F345" s="58" t="s">
        <v>461</v>
      </c>
      <c r="G345" s="16"/>
      <c r="H345" s="61" t="s">
        <v>462</v>
      </c>
      <c r="I345" s="58">
        <v>1</v>
      </c>
      <c r="J345" s="59" t="s">
        <v>411</v>
      </c>
      <c r="K345" s="61" t="s">
        <v>458</v>
      </c>
    </row>
    <row r="346" spans="1:11" ht="60" x14ac:dyDescent="0.25">
      <c r="A346" s="58">
        <v>5</v>
      </c>
      <c r="B346" s="59" t="s">
        <v>424</v>
      </c>
      <c r="C346" s="16" t="s">
        <v>467</v>
      </c>
      <c r="D346" s="59" t="s">
        <v>468</v>
      </c>
      <c r="E346" s="59" t="s">
        <v>469</v>
      </c>
      <c r="F346" s="58" t="s">
        <v>461</v>
      </c>
      <c r="G346" s="16"/>
      <c r="H346" s="61" t="s">
        <v>457</v>
      </c>
      <c r="I346" s="58">
        <v>1</v>
      </c>
      <c r="J346" s="59" t="s">
        <v>411</v>
      </c>
      <c r="K346" s="61" t="s">
        <v>458</v>
      </c>
    </row>
    <row r="347" spans="1:11" ht="60" x14ac:dyDescent="0.25">
      <c r="A347" s="58">
        <v>6</v>
      </c>
      <c r="B347" s="59" t="s">
        <v>426</v>
      </c>
      <c r="C347" s="16" t="s">
        <v>453</v>
      </c>
      <c r="D347" s="59" t="s">
        <v>459</v>
      </c>
      <c r="E347" s="59" t="s">
        <v>460</v>
      </c>
      <c r="F347" s="58" t="s">
        <v>461</v>
      </c>
      <c r="G347" s="16"/>
      <c r="H347" s="61" t="s">
        <v>462</v>
      </c>
      <c r="I347" s="58">
        <v>1</v>
      </c>
      <c r="J347" s="59" t="s">
        <v>411</v>
      </c>
      <c r="K347" s="61" t="s">
        <v>458</v>
      </c>
    </row>
    <row r="348" spans="1:11" ht="60" x14ac:dyDescent="0.25">
      <c r="A348" s="58">
        <v>7</v>
      </c>
      <c r="B348" s="59" t="s">
        <v>427</v>
      </c>
      <c r="C348" s="16" t="s">
        <v>470</v>
      </c>
      <c r="D348" s="59" t="s">
        <v>459</v>
      </c>
      <c r="E348" s="59" t="s">
        <v>460</v>
      </c>
      <c r="F348" s="58" t="s">
        <v>461</v>
      </c>
      <c r="G348" s="16"/>
      <c r="H348" s="61" t="s">
        <v>462</v>
      </c>
      <c r="I348" s="58">
        <v>1</v>
      </c>
      <c r="J348" s="59" t="s">
        <v>411</v>
      </c>
      <c r="K348" s="61" t="s">
        <v>458</v>
      </c>
    </row>
    <row r="349" spans="1:11" ht="60" x14ac:dyDescent="0.25">
      <c r="A349" s="58">
        <v>8</v>
      </c>
      <c r="B349" s="59" t="s">
        <v>428</v>
      </c>
      <c r="C349" s="16" t="s">
        <v>471</v>
      </c>
      <c r="D349" s="59" t="s">
        <v>472</v>
      </c>
      <c r="E349" s="59" t="s">
        <v>473</v>
      </c>
      <c r="F349" s="58" t="s">
        <v>461</v>
      </c>
      <c r="G349" s="16"/>
      <c r="H349" s="61" t="s">
        <v>462</v>
      </c>
      <c r="I349" s="58">
        <v>50</v>
      </c>
      <c r="J349" s="59" t="s">
        <v>411</v>
      </c>
      <c r="K349" s="61" t="s">
        <v>458</v>
      </c>
    </row>
    <row r="350" spans="1:11" ht="60" x14ac:dyDescent="0.25">
      <c r="A350" s="58">
        <v>9</v>
      </c>
      <c r="B350" s="59" t="s">
        <v>429</v>
      </c>
      <c r="C350" s="16" t="s">
        <v>474</v>
      </c>
      <c r="D350" s="59" t="s">
        <v>475</v>
      </c>
      <c r="E350" s="59" t="s">
        <v>476</v>
      </c>
      <c r="F350" s="58" t="s">
        <v>461</v>
      </c>
      <c r="G350" s="16"/>
      <c r="H350" s="61" t="s">
        <v>457</v>
      </c>
      <c r="I350" s="58">
        <v>50</v>
      </c>
      <c r="J350" s="59" t="s">
        <v>411</v>
      </c>
      <c r="K350" s="61" t="s">
        <v>458</v>
      </c>
    </row>
    <row r="351" spans="1:11" ht="60" x14ac:dyDescent="0.25">
      <c r="A351" s="58">
        <v>10</v>
      </c>
      <c r="B351" s="59" t="s">
        <v>430</v>
      </c>
      <c r="C351" s="16" t="s">
        <v>453</v>
      </c>
      <c r="D351" s="59" t="s">
        <v>477</v>
      </c>
      <c r="E351" s="59" t="s">
        <v>478</v>
      </c>
      <c r="F351" s="58" t="s">
        <v>456</v>
      </c>
      <c r="G351" s="16"/>
      <c r="H351" s="61" t="s">
        <v>462</v>
      </c>
      <c r="I351" s="58">
        <v>200</v>
      </c>
      <c r="J351" s="59" t="s">
        <v>411</v>
      </c>
      <c r="K351" s="61" t="s">
        <v>458</v>
      </c>
    </row>
    <row r="357" spans="2:5" x14ac:dyDescent="0.25">
      <c r="E357" s="48" t="s">
        <v>479</v>
      </c>
    </row>
    <row r="361" spans="2:5" x14ac:dyDescent="0.25">
      <c r="B361" s="57" t="s">
        <v>446</v>
      </c>
      <c r="C361" s="57" t="s">
        <v>447</v>
      </c>
      <c r="D361" s="57" t="s">
        <v>480</v>
      </c>
    </row>
    <row r="362" spans="2:5" ht="45" x14ac:dyDescent="0.25">
      <c r="B362" s="58">
        <v>1</v>
      </c>
      <c r="C362" s="60" t="s">
        <v>419</v>
      </c>
      <c r="D362" s="62" t="s">
        <v>455</v>
      </c>
    </row>
    <row r="363" spans="2:5" ht="30" x14ac:dyDescent="0.25">
      <c r="B363" s="58">
        <v>2</v>
      </c>
      <c r="C363" s="60" t="s">
        <v>421</v>
      </c>
      <c r="D363" s="62" t="s">
        <v>460</v>
      </c>
    </row>
    <row r="364" spans="2:5" ht="30" x14ac:dyDescent="0.25">
      <c r="B364" s="58">
        <v>3</v>
      </c>
      <c r="C364" s="60" t="s">
        <v>422</v>
      </c>
      <c r="D364" s="62" t="s">
        <v>465</v>
      </c>
    </row>
    <row r="365" spans="2:5" ht="45" x14ac:dyDescent="0.25">
      <c r="B365" s="58">
        <v>4</v>
      </c>
      <c r="C365" s="60" t="s">
        <v>423</v>
      </c>
      <c r="D365" s="62" t="s">
        <v>460</v>
      </c>
    </row>
    <row r="366" spans="2:5" ht="60" x14ac:dyDescent="0.25">
      <c r="B366" s="58">
        <v>5</v>
      </c>
      <c r="C366" s="60" t="s">
        <v>424</v>
      </c>
      <c r="D366" s="62" t="s">
        <v>481</v>
      </c>
    </row>
    <row r="367" spans="2:5" ht="30" x14ac:dyDescent="0.25">
      <c r="B367" s="58">
        <v>6</v>
      </c>
      <c r="C367" s="60" t="s">
        <v>426</v>
      </c>
      <c r="D367" s="62" t="s">
        <v>482</v>
      </c>
    </row>
    <row r="368" spans="2:5" ht="45" x14ac:dyDescent="0.25">
      <c r="B368" s="58">
        <v>7</v>
      </c>
      <c r="C368" s="60" t="s">
        <v>427</v>
      </c>
      <c r="D368" s="62" t="s">
        <v>482</v>
      </c>
    </row>
    <row r="369" spans="2:4" ht="45" x14ac:dyDescent="0.25">
      <c r="B369" s="58">
        <v>8</v>
      </c>
      <c r="C369" s="60" t="s">
        <v>428</v>
      </c>
      <c r="D369" s="62" t="s">
        <v>473</v>
      </c>
    </row>
    <row r="370" spans="2:4" ht="45" x14ac:dyDescent="0.25">
      <c r="B370" s="58">
        <v>9</v>
      </c>
      <c r="C370" s="60" t="s">
        <v>429</v>
      </c>
      <c r="D370" s="62" t="s">
        <v>476</v>
      </c>
    </row>
    <row r="371" spans="2:4" ht="45" x14ac:dyDescent="0.25">
      <c r="B371" s="58">
        <v>10</v>
      </c>
      <c r="C371" s="60" t="s">
        <v>430</v>
      </c>
      <c r="D371" s="62" t="s">
        <v>483</v>
      </c>
    </row>
  </sheetData>
  <mergeCells count="106">
    <mergeCell ref="AU33:AX33"/>
    <mergeCell ref="A35:A36"/>
    <mergeCell ref="A37:A38"/>
    <mergeCell ref="A39:A40"/>
    <mergeCell ref="A41:A42"/>
    <mergeCell ref="A43:A44"/>
    <mergeCell ref="W33:Z33"/>
    <mergeCell ref="AA33:AD33"/>
    <mergeCell ref="AE33:AH33"/>
    <mergeCell ref="AI33:AL33"/>
    <mergeCell ref="AM33:AP33"/>
    <mergeCell ref="AQ33:AT33"/>
    <mergeCell ref="A33:B34"/>
    <mergeCell ref="C33:F33"/>
    <mergeCell ref="G33:J33"/>
    <mergeCell ref="K33:N33"/>
    <mergeCell ref="O33:R33"/>
    <mergeCell ref="S33:V33"/>
    <mergeCell ref="M51:N51"/>
    <mergeCell ref="O51:P51"/>
    <mergeCell ref="C263:D266"/>
    <mergeCell ref="E263:F266"/>
    <mergeCell ref="G263:H266"/>
    <mergeCell ref="I263:J266"/>
    <mergeCell ref="K263:L266"/>
    <mergeCell ref="M263:N266"/>
    <mergeCell ref="O263:P266"/>
    <mergeCell ref="O267:P270"/>
    <mergeCell ref="C271:D274"/>
    <mergeCell ref="E271:F274"/>
    <mergeCell ref="G271:H274"/>
    <mergeCell ref="I271:J274"/>
    <mergeCell ref="K271:L274"/>
    <mergeCell ref="M271:N274"/>
    <mergeCell ref="O271:P274"/>
    <mergeCell ref="C267:D270"/>
    <mergeCell ref="E267:F270"/>
    <mergeCell ref="G267:H270"/>
    <mergeCell ref="I267:J270"/>
    <mergeCell ref="K267:L270"/>
    <mergeCell ref="M267:N270"/>
    <mergeCell ref="C304:D307"/>
    <mergeCell ref="E304:E307"/>
    <mergeCell ref="F304:F307"/>
    <mergeCell ref="G304:G307"/>
    <mergeCell ref="C308:D309"/>
    <mergeCell ref="E308:E309"/>
    <mergeCell ref="F308:F309"/>
    <mergeCell ref="G308:G309"/>
    <mergeCell ref="O275:P278"/>
    <mergeCell ref="C279:D282"/>
    <mergeCell ref="E279:F282"/>
    <mergeCell ref="G279:H282"/>
    <mergeCell ref="I279:J282"/>
    <mergeCell ref="K279:L282"/>
    <mergeCell ref="M279:N282"/>
    <mergeCell ref="O279:P282"/>
    <mergeCell ref="C275:D278"/>
    <mergeCell ref="E275:F278"/>
    <mergeCell ref="G275:H278"/>
    <mergeCell ref="I275:J278"/>
    <mergeCell ref="K275:L278"/>
    <mergeCell ref="M275:N278"/>
    <mergeCell ref="C314:D315"/>
    <mergeCell ref="E314:E315"/>
    <mergeCell ref="F314:F315"/>
    <mergeCell ref="G314:G315"/>
    <mergeCell ref="C316:D317"/>
    <mergeCell ref="E316:E317"/>
    <mergeCell ref="F316:F317"/>
    <mergeCell ref="G316:G317"/>
    <mergeCell ref="C310:D311"/>
    <mergeCell ref="E310:E311"/>
    <mergeCell ref="F310:F311"/>
    <mergeCell ref="G310:G311"/>
    <mergeCell ref="C312:D313"/>
    <mergeCell ref="E312:E313"/>
    <mergeCell ref="F312:F313"/>
    <mergeCell ref="G312:G313"/>
    <mergeCell ref="C322:D323"/>
    <mergeCell ref="E322:E323"/>
    <mergeCell ref="F322:F323"/>
    <mergeCell ref="G322:G323"/>
    <mergeCell ref="C324:D325"/>
    <mergeCell ref="E324:E325"/>
    <mergeCell ref="F324:F325"/>
    <mergeCell ref="G324:G325"/>
    <mergeCell ref="C318:D319"/>
    <mergeCell ref="E318:E319"/>
    <mergeCell ref="F318:F319"/>
    <mergeCell ref="G318:G319"/>
    <mergeCell ref="C320:D321"/>
    <mergeCell ref="E320:E321"/>
    <mergeCell ref="F320:F321"/>
    <mergeCell ref="G320:G321"/>
    <mergeCell ref="J340:J341"/>
    <mergeCell ref="K340:K341"/>
    <mergeCell ref="C326:D327"/>
    <mergeCell ref="E326:E327"/>
    <mergeCell ref="F326:F327"/>
    <mergeCell ref="G326:G327"/>
    <mergeCell ref="A340:B340"/>
    <mergeCell ref="C340:C341"/>
    <mergeCell ref="D340:E340"/>
    <mergeCell ref="F340:F341"/>
    <mergeCell ref="G340:I34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Metodologia</vt:lpstr>
      <vt:lpstr>Herramientas</vt:lpstr>
      <vt:lpstr>Proyecto</vt:lpstr>
      <vt:lpstr>Flujo</vt:lpstr>
      <vt:lpstr>Project Charter</vt:lpstr>
      <vt:lpstr>Ejemplo</vt:lpstr>
      <vt:lpstr>Caso Problema</vt:lpstr>
      <vt:lpstr>SOLUCION</vt:lpstr>
      <vt:lpstr>Proyecto!Área_de_impresión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USUARIO</cp:lastModifiedBy>
  <cp:lastPrinted>2020-06-13T22:07:59Z</cp:lastPrinted>
  <dcterms:created xsi:type="dcterms:W3CDTF">2020-06-13T10:04:28Z</dcterms:created>
  <dcterms:modified xsi:type="dcterms:W3CDTF">2025-12-02T06:46:22Z</dcterms:modified>
</cp:coreProperties>
</file>